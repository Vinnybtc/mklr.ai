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erts" sheetId="2" state="visible" r:id="rId2"/>
    <sheet name="Instellingen" sheetId="3" state="visible" r:id="rId3"/>
    <sheet name="Koersen" sheetId="4" state="visible" r:id="rId4"/>
    <sheet name="Koers-Setup" sheetId="5" state="visible" r:id="rId5"/>
    <sheet name="Bitcoin Holdings" sheetId="6" state="visible" r:id="rId6"/>
    <sheet name="Dogecoin Holdings" sheetId="7" state="visible" r:id="rId7"/>
    <sheet name="Vastgoed" sheetId="8" state="visible" r:id="rId8"/>
    <sheet name="Leningen" sheetId="9" state="visible" r:id="rId9"/>
    <sheet name="BTC als Onderpand" sheetId="10" state="visible" r:id="rId10"/>
    <sheet name="Cash &amp; Overig" sheetId="11" state="visible" r:id="rId11"/>
    <sheet name="Inkomsten" sheetId="12" state="visible" r:id="rId12"/>
    <sheet name="Maandlasten" sheetId="13" state="visible" r:id="rId13"/>
    <sheet name="Belastinge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€ #,##0.00"/>
    <numFmt numFmtId="165" formatCode="YYYY-MM-DD"/>
    <numFmt numFmtId="166" formatCode="$ #,##0.00"/>
    <numFmt numFmtId="167" formatCode="DD-MM-YYYY HH:MM"/>
    <numFmt numFmtId="168" formatCode="0.00000000"/>
    <numFmt numFmtId="169" formatCode="€ #,##0"/>
    <numFmt numFmtId="170" formatCode="0.0"/>
    <numFmt numFmtId="171" formatCode="0.00000000 &quot;BTC&quot;"/>
    <numFmt numFmtId="172" formatCode="#,##0 &quot;DOGE&quot;"/>
    <numFmt numFmtId="173" formatCode="0.0 &quot;maanden&quot;"/>
    <numFmt numFmtId="174" formatCode="€ 0.0000"/>
  </numFmts>
  <fonts count="22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  <color rgb="001F4E79"/>
      <sz val="12"/>
    </font>
    <font/>
    <font>
      <b val="1"/>
      <color rgb="00006100"/>
    </font>
    <font>
      <b val="1"/>
      <color rgb="009C5700"/>
    </font>
    <font>
      <b val="1"/>
      <color rgb="009C0006"/>
    </font>
    <font>
      <i val="1"/>
      <color rgb="00666666"/>
    </font>
    <font>
      <b val="1"/>
      <sz val="11"/>
    </font>
    <font>
      <b val="1"/>
    </font>
    <font>
      <b val="1"/>
      <color rgb="00006600"/>
    </font>
    <font>
      <b val="1"/>
      <color rgb="00CC0000"/>
    </font>
    <font>
      <b val="1"/>
      <sz val="12"/>
    </font>
    <font>
      <b val="1"/>
      <color rgb="00CC0000"/>
      <sz val="12"/>
    </font>
    <font>
      <b val="1"/>
      <color rgb="001F4E79"/>
      <sz val="18"/>
    </font>
    <font>
      <i val="1"/>
    </font>
    <font>
      <color rgb="00CC0000"/>
    </font>
    <font>
      <b val="1"/>
      <sz val="14"/>
    </font>
    <font>
      <b val="1"/>
      <color rgb="00006600"/>
      <sz val="14"/>
    </font>
    <font>
      <i val="1"/>
      <color rgb="000066CC"/>
    </font>
    <font>
      <color rgb="0000660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2">
    <xf numFmtId="0" fontId="0" fillId="0" borderId="0"/>
    <xf numFmtId="0" fontId="1" fillId="2" borderId="1" applyAlignment="1">
      <alignment horizontal="center" vertical="center" wrapText="1"/>
    </xf>
    <xf numFmtId="0" fontId="2" fillId="0" borderId="2" applyAlignment="1">
      <alignment horizontal="left" vertical="center"/>
    </xf>
    <xf numFmtId="0" fontId="3" fillId="3" borderId="2" applyAlignment="1">
      <alignment horizontal="left" vertical="center"/>
    </xf>
    <xf numFmtId="164" fontId="4" fillId="0" borderId="2" applyAlignment="1">
      <alignment horizontal="right"/>
    </xf>
    <xf numFmtId="10" fontId="4" fillId="0" borderId="2" applyAlignment="1">
      <alignment horizontal="right"/>
    </xf>
    <xf numFmtId="165" fontId="4" fillId="0" borderId="2" applyAlignment="1">
      <alignment horizontal="center"/>
    </xf>
    <xf numFmtId="0" fontId="4" fillId="4" borderId="3"/>
    <xf numFmtId="0" fontId="4" fillId="5" borderId="2"/>
    <xf numFmtId="0" fontId="5" fillId="6" borderId="2" applyAlignment="1">
      <alignment horizontal="center"/>
    </xf>
    <xf numFmtId="0" fontId="6" fillId="7" borderId="2" applyAlignment="1">
      <alignment horizontal="center"/>
    </xf>
    <xf numFmtId="0" fontId="7" fillId="8" borderId="2" applyAlignment="1">
      <alignment horizontal="center"/>
    </xf>
  </cellStyleXfs>
  <cellXfs count="41">
    <xf numFmtId="0" fontId="0" fillId="0" borderId="0" pivotButton="0" quotePrefix="0" xfId="0"/>
    <xf numFmtId="0" fontId="15" fillId="0" borderId="0" pivotButton="0" quotePrefix="0" xfId="0"/>
    <xf numFmtId="167" fontId="0" fillId="0" borderId="0" pivotButton="0" quotePrefix="0" xfId="0"/>
    <xf numFmtId="0" fontId="3" fillId="3" borderId="2" applyAlignment="1" pivotButton="0" quotePrefix="0" xfId="3">
      <alignment horizontal="left" vertical="center"/>
    </xf>
    <xf numFmtId="171" fontId="0" fillId="0" borderId="0" pivotButton="0" quotePrefix="0" xfId="0"/>
    <xf numFmtId="169" fontId="0" fillId="0" borderId="0" pivotButton="0" quotePrefix="0" xfId="0"/>
    <xf numFmtId="172" fontId="0" fillId="0" borderId="0" pivotButton="0" quotePrefix="0" xfId="0"/>
    <xf numFmtId="0" fontId="10" fillId="0" borderId="0" pivotButton="0" quotePrefix="0" xfId="0"/>
    <xf numFmtId="169" fontId="13" fillId="0" borderId="0" pivotButton="0" quotePrefix="0" xfId="0"/>
    <xf numFmtId="169" fontId="16" fillId="0" borderId="0" pivotButton="0" quotePrefix="0" xfId="0"/>
    <xf numFmtId="0" fontId="20" fillId="0" borderId="0" pivotButton="0" quotePrefix="0" xfId="0"/>
    <xf numFmtId="9" fontId="0" fillId="0" borderId="0" pivotButton="0" quotePrefix="0" xfId="0"/>
    <xf numFmtId="169" fontId="17" fillId="0" borderId="0" pivotButton="0" quotePrefix="0" xfId="0"/>
    <xf numFmtId="164" fontId="0" fillId="0" borderId="0" pivotButton="0" quotePrefix="0" xfId="0"/>
    <xf numFmtId="174" fontId="0" fillId="0" borderId="0" pivotButton="0" quotePrefix="0" xfId="0"/>
    <xf numFmtId="173" fontId="0" fillId="0" borderId="0" pivotButton="0" quotePrefix="0" xfId="0"/>
    <xf numFmtId="10" fontId="0" fillId="0" borderId="0" pivotButton="0" quotePrefix="0" xfId="0"/>
    <xf numFmtId="0" fontId="18" fillId="5" borderId="0" pivotButton="0" quotePrefix="0" xfId="0"/>
    <xf numFmtId="0" fontId="0" fillId="5" borderId="0" pivotButton="0" quotePrefix="0" xfId="0"/>
    <xf numFmtId="169" fontId="19" fillId="5" borderId="0" pivotButton="0" quotePrefix="0" xfId="0"/>
    <xf numFmtId="169" fontId="21" fillId="0" borderId="0" pivotButton="0" quotePrefix="0" xfId="0"/>
    <xf numFmtId="169" fontId="10" fillId="0" borderId="0" pivotButton="0" quotePrefix="0" xfId="0"/>
    <xf numFmtId="0" fontId="2" fillId="0" borderId="2" applyAlignment="1" pivotButton="0" quotePrefix="0" xfId="2">
      <alignment horizontal="left" vertical="center"/>
    </xf>
    <xf numFmtId="0" fontId="1" fillId="2" borderId="1" applyAlignment="1" pivotButton="0" quotePrefix="0" xfId="1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168" fontId="10" fillId="0" borderId="0" pivotButton="0" quotePrefix="0" xfId="0"/>
    <xf numFmtId="168" fontId="0" fillId="0" borderId="0" pivotButton="0" quotePrefix="0" xfId="0"/>
    <xf numFmtId="4" fontId="10" fillId="0" borderId="0" pivotButton="0" quotePrefix="0" xfId="0"/>
    <xf numFmtId="4" fontId="0" fillId="0" borderId="0" pivotButton="0" quotePrefix="0" xfId="0"/>
    <xf numFmtId="164" fontId="10" fillId="0" borderId="0" pivotButton="0" quotePrefix="0" xfId="0"/>
    <xf numFmtId="170" fontId="0" fillId="0" borderId="0" pivotButton="0" quotePrefix="0" xfId="0"/>
    <xf numFmtId="1" fontId="0" fillId="0" borderId="0" pivotButton="0" quotePrefix="0" xfId="0"/>
    <xf numFmtId="164" fontId="11" fillId="0" borderId="0" pivotButton="0" quotePrefix="0" xfId="0"/>
    <xf numFmtId="164" fontId="12" fillId="0" borderId="0" pivotButton="0" quotePrefix="0" xfId="0"/>
    <xf numFmtId="0" fontId="13" fillId="7" borderId="0" pivotButton="0" quotePrefix="0" xfId="0"/>
    <xf numFmtId="169" fontId="14" fillId="7" borderId="0" pivotButton="0" quotePrefix="0" xfId="0"/>
    <xf numFmtId="0" fontId="0" fillId="7" borderId="0" pivotButton="0" quotePrefix="0" xfId="0"/>
  </cellXfs>
  <cellStyles count="12">
    <cellStyle name="Normal" xfId="0" builtinId="0" hidden="0"/>
    <cellStyle name="header_style" xfId="1" hidden="0"/>
    <cellStyle name="title_style" xfId="2" hidden="0"/>
    <cellStyle name="section_style" xfId="3" hidden="0"/>
    <cellStyle name="currency_style" xfId="4" hidden="0"/>
    <cellStyle name="percentage_style" xfId="5" hidden="0"/>
    <cellStyle name="date_style" xfId="6" hidden="0"/>
    <cellStyle name="input_style" xfId="7" hidden="0"/>
    <cellStyle name="calc_style" xfId="8" hidden="0"/>
    <cellStyle name="ok_style" xfId="9" hidden="0"/>
    <cellStyle name="alert_style" xfId="10" hidden="0"/>
    <cellStyle name="risk_style" xfId="11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color rgb="001F4E79"/>
      </font>
      <fill>
        <patternFill patternType="solid">
          <fgColor rgb="00D9E1F2"/>
          <b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ables/table1.xml><?xml version="1.0" encoding="utf-8"?>
<table xmlns="http://schemas.openxmlformats.org/spreadsheetml/2006/main" id="1" name="tblAlerts" displayName="tblAlerts" ref="A3:I13" headerRowCount="1">
  <autoFilter ref="A3:I13"/>
  <tableColumns count="9">
    <tableColumn id="1" name="Date"/>
    <tableColumn id="2" name="Severity"/>
    <tableColumn id="3" name="Category"/>
    <tableColumn id="4" name="Item"/>
    <tableColumn id="5" name="Metric"/>
    <tableColumn id="6" name="Value"/>
    <tableColumn id="7" name="Threshold"/>
    <tableColumn id="8" name="Insight"/>
    <tableColumn id="9" name="Suggested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Settings" displayName="tblSettings" ref="A3:D14" headerRowCount="1">
  <autoFilter ref="A3:D14"/>
  <tableColumns count="4">
    <tableColumn id="1" name="Parameter"/>
    <tableColumn id="2" name="Waarde"/>
    <tableColumn id="3" name="Eenheid"/>
    <tableColumn id="4" name="Toelich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LoanCollateralMap" displayName="tblLoanCollateralMap" ref="G4:J5" headerRowCount="1">
  <autoFilter ref="G4:J5"/>
  <tableColumns count="4">
    <tableColumn id="7" name="LoanID"/>
    <tableColumn id="8" name="CollateralType"/>
    <tableColumn id="9" name="CollateralRef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Koersen" displayName="tblKoersen" ref="A3:E5" headerRowCount="1">
  <autoFilter ref="A3:E5"/>
  <tableColumns count="5">
    <tableColumn id="1" name="Asset"/>
    <tableColumn id="2" name="Symbol"/>
    <tableColumn id="3" name="EUR prijs"/>
    <tableColumn id="4" name="USD prijs"/>
    <tableColumn id="5" name="Laatste upda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BTC" displayName="tblBTC" ref="A3:E6" headerRowCount="1">
  <autoFilter ref="A3:E6"/>
  <tableColumns count="5">
    <tableColumn id="1" name="Datum"/>
    <tableColumn id="2" name="Wallet/Platform"/>
    <tableColumn id="3" name="BTC Aantal"/>
    <tableColumn id="4" name="Type"/>
    <tableColumn id="5" name="Opmerk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DOGE" displayName="tblDOGE" ref="A3:E5" headerRowCount="1">
  <autoFilter ref="A3:E5"/>
  <tableColumns count="5">
    <tableColumn id="1" name="Datum"/>
    <tableColumn id="2" name="Wallet/Platform"/>
    <tableColumn id="3" name="DOGE Aantal"/>
    <tableColumn id="4" name="Type"/>
    <tableColumn id="5" name="Opmerk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Vastgoed" displayName="tblVastgoed" ref="A3:G5" headerRowCount="1">
  <autoFilter ref="A3:G5"/>
  <tableColumns count="7">
    <tableColumn id="1" name="Pand"/>
    <tableColumn id="2" name="Adres"/>
    <tableColumn id="3" name="Type"/>
    <tableColumn id="4" name="Waarde(EUR)"/>
    <tableColumn id="5" name="Hypotheek(EUR)"/>
    <tableColumn id="6" name="Overige Leningen(EUR)"/>
    <tableColumn id="7" name="Netto Waar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Leningen" displayName="tblLeningen" ref="A3:K5" headerRowCount="1">
  <autoFilter ref="A3:K5"/>
  <tableColumns count="11">
    <tableColumn id="1" name="LoanID"/>
    <tableColumn id="2" name="Datum"/>
    <tableColumn id="3" name="OnderpandType"/>
    <tableColumn id="4" name="OnderpandRef"/>
    <tableColumn id="5" name="Lener"/>
    <tableColumn id="6" name="Hoofdsom(EUR)"/>
    <tableColumn id="7" name="Openstaand(EUR)"/>
    <tableColumn id="8" name="Rente%"/>
    <tableColumn id="9" name="Looptijd"/>
    <tableColumn id="10" name="LiquidatieLTV"/>
    <tableColumn id="11" name="Opmerki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TCOnderpand" displayName="tblBTCOnderpand" ref="A3:L13" headerRowCount="1">
  <autoFilter ref="A3:L13"/>
  <tableColumns count="12">
    <tableColumn id="1" name="LoanID"/>
    <tableColumn id="2" name="Platform/Lener"/>
    <tableColumn id="3" name="BTC Onderpand"/>
    <tableColumn id="4" name="Openstaand(EUR)"/>
    <tableColumn id="5" name="BTC prijs(EUR)"/>
    <tableColumn id="6" name="CollateralValue(EUR)"/>
    <tableColumn id="7" name="CurrentLTV"/>
    <tableColumn id="8" name="LiquidationLTV"/>
    <tableColumn id="9" name="DistanceToLiq"/>
    <tableColumn id="10" name="Status"/>
    <tableColumn id="11" name="RequiredRepayEUR"/>
    <tableColumn id="12" name="RequiredAddBTC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Cash" displayName="tblCash" ref="A3:E6" headerRowCount="1">
  <autoFilter ref="A3:E6"/>
  <tableColumns count="5">
    <tableColumn id="1" name="Datum"/>
    <tableColumn id="2" name="Rekening/Platform"/>
    <tableColumn id="3" name="Bedrag(EUR)"/>
    <tableColumn id="4" name="Type"/>
    <tableColumn id="5" name="Opmerki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Inkomsten" displayName="tblInkomsten" ref="A3:G6" headerRowCount="1">
  <autoFilter ref="A3:G6"/>
  <tableColumns count="7">
    <tableColumn id="1" name="Bron"/>
    <tableColumn id="2" name="Omschrijving"/>
    <tableColumn id="3" name="Bruto/maand"/>
    <tableColumn id="4" name="Netto/maand"/>
    <tableColumn id="5" name="Type"/>
    <tableColumn id="6" name="Frequentie"/>
    <tableColumn id="7" name="Opmerki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Maandlasten" displayName="tblMaandlasten" ref="A3:F18" headerRowCount="1">
  <autoFilter ref="A3:F18"/>
  <tableColumns count="6">
    <tableColumn id="1" name="Categorie"/>
    <tableColumn id="2" name="Omschrijving"/>
    <tableColumn id="3" name="Bedrag(EUR)"/>
    <tableColumn id="4" name="Frequentie"/>
    <tableColumn id="5" name="Jaarlijks(EUR)"/>
    <tableColumn id="6" name="Opmer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3" customWidth="1" min="4" max="4"/>
    <col width="3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FINANCIËLE COCKPIT</t>
        </is>
      </c>
      <c r="F1" t="inlineStr">
        <is>
          <t>Laatste update:</t>
        </is>
      </c>
      <c r="G1" s="2">
        <f>NOW()</f>
        <v/>
      </c>
    </row>
    <row r="2"/>
    <row r="3">
      <c r="A3" s="3" t="inlineStr">
        <is>
          <t>CRYPTO HOLDINGS</t>
        </is>
      </c>
      <c r="F3" s="3" t="inlineStr">
        <is>
          <t>TOP ALERTS</t>
        </is>
      </c>
    </row>
    <row r="4">
      <c r="A4" t="inlineStr">
        <is>
          <t>Bitcoin (BTC)</t>
        </is>
      </c>
      <c r="B4" s="4">
        <f>SUM(tblBTC[BTC Aantal])</f>
        <v/>
      </c>
      <c r="C4" s="5">
        <f>SUM(tblBTC[BTC Aantal])*XLOOKUP("BTC",tblKoersen[Symbol],tblKoersen[EUR prijs],0)</f>
        <v/>
      </c>
      <c r="F4">
        <f>IF(Alerts!B4="","",Alerts!B4)</f>
        <v/>
      </c>
      <c r="G4">
        <f>IF(Alerts!B4="","",Alerts!H4)</f>
        <v/>
      </c>
    </row>
    <row r="5">
      <c r="A5" t="inlineStr">
        <is>
          <t>Dogecoin (DOGE)</t>
        </is>
      </c>
      <c r="B5" s="6">
        <f>SUM(tblDOGE[DOGE Aantal])</f>
        <v/>
      </c>
      <c r="C5" s="5">
        <f>SUM(tblDOGE[DOGE Aantal])*XLOOKUP("DOGE",tblKoersen[Symbol],tblKoersen[EUR prijs],0)</f>
        <v/>
      </c>
      <c r="F5">
        <f>IF(Alerts!B5="","",Alerts!B5)</f>
        <v/>
      </c>
      <c r="G5">
        <f>IF(Alerts!B5="","",Alerts!H5)</f>
        <v/>
      </c>
    </row>
    <row r="6">
      <c r="A6" s="7" t="inlineStr">
        <is>
          <t>Totaal Crypto</t>
        </is>
      </c>
      <c r="C6" s="8">
        <f>C4+C5</f>
        <v/>
      </c>
      <c r="F6">
        <f>IF(Alerts!B6="","",Alerts!B6)</f>
        <v/>
      </c>
      <c r="G6">
        <f>IF(Alerts!B6="","",Alerts!H6)</f>
        <v/>
      </c>
    </row>
    <row r="7">
      <c r="A7" t="inlineStr">
        <is>
          <t xml:space="preserve">  waarvan Spot:</t>
        </is>
      </c>
      <c r="C7" s="9">
        <f>SUMIF(tblBTC[Type],"Spot",tblBTC[BTC Aantal])*XLOOKUP("BTC",tblKoersen[Symbol],tblKoersen[EUR prijs],0)+SUMIF(tblDOGE[Type],"Spot",tblDOGE[DOGE Aantal])*XLOOKUP("DOGE",tblKoersen[Symbol],tblKoersen[EUR prijs],0)</f>
        <v/>
      </c>
      <c r="F7" s="10" t="inlineStr">
        <is>
          <t>→ Zie Alerts sheet voor details</t>
        </is>
      </c>
    </row>
    <row r="8">
      <c r="A8" t="inlineStr">
        <is>
          <t xml:space="preserve">  waarvan Collateral:</t>
        </is>
      </c>
      <c r="C8" s="9">
        <f>SUMIF(tblBTC[Type],"Collateral",tblBTC[BTC Aantal])*XLOOKUP("BTC",tblKoersen[Symbol],tblKoersen[EUR prijs],0)+SUMIF(tblDOGE[Type],"Collateral",tblDOGE[DOGE Aantal])*XLOOKUP("DOGE",tblKoersen[Symbol],tblKoersen[EUR prijs],0)</f>
        <v/>
      </c>
    </row>
    <row r="11">
      <c r="A11" s="3" t="inlineStr">
        <is>
          <t>VASTGOED</t>
        </is>
      </c>
      <c r="F11" s="3" t="inlineStr">
        <is>
          <t>STRESS TEST</t>
        </is>
      </c>
    </row>
    <row r="12">
      <c r="A12" t="inlineStr">
        <is>
          <t>Totale Waarde</t>
        </is>
      </c>
      <c r="C12" s="5">
        <f>SUM(tblVastgoed[Waarde(EUR)])</f>
        <v/>
      </c>
      <c r="F12" t="inlineStr">
        <is>
          <t>Scenario 1:</t>
        </is>
      </c>
      <c r="G12" s="11">
        <f>XLOOKUP("StressBTCDown1",tblSettings[Parameter],tblSettings[Waarde])</f>
        <v/>
      </c>
      <c r="H12">
        <f>'BTC als Onderpand'!F18</f>
        <v/>
      </c>
    </row>
    <row r="13">
      <c r="A13" t="inlineStr">
        <is>
          <t>Hypotheken</t>
        </is>
      </c>
      <c r="C13" s="12">
        <f>SUM(tblVastgoed[Hypotheek(EUR)])</f>
        <v/>
      </c>
      <c r="F13" t="inlineStr">
        <is>
          <t>Scenario 2:</t>
        </is>
      </c>
      <c r="G13" s="11">
        <f>XLOOKUP("StressBTCDown2",tblSettings[Parameter],tblSettings[Waarde])</f>
        <v/>
      </c>
      <c r="H13">
        <f>'BTC als Onderpand'!F19</f>
        <v/>
      </c>
    </row>
    <row r="14">
      <c r="A14" t="inlineStr">
        <is>
          <t>Overige Leningen</t>
        </is>
      </c>
      <c r="C14" s="12">
        <f>SUM(tblVastgoed[Overige Leningen(EUR)])</f>
        <v/>
      </c>
    </row>
    <row r="15">
      <c r="A15" s="7" t="inlineStr">
        <is>
          <t>Netto Vastgoed</t>
        </is>
      </c>
      <c r="C15" s="8">
        <f>SUM(tblVastgoed[Netto Waarde])</f>
        <v/>
      </c>
    </row>
    <row r="16">
      <c r="F16" s="3" t="inlineStr">
        <is>
          <t>KOERSEN</t>
        </is>
      </c>
    </row>
    <row r="17">
      <c r="F17" t="inlineStr">
        <is>
          <t>BTC</t>
        </is>
      </c>
      <c r="G17" s="13">
        <f>XLOOKUP("BTC",tblKoersen[Symbol],tblKoersen[EUR prijs],0)</f>
        <v/>
      </c>
    </row>
    <row r="18">
      <c r="A18" s="3" t="inlineStr">
        <is>
          <t>CASH &amp; LENINGEN</t>
        </is>
      </c>
      <c r="F18" t="inlineStr">
        <is>
          <t>DOGE</t>
        </is>
      </c>
      <c r="G18" s="14">
        <f>XLOOKUP("DOGE",tblKoersen[Symbol],tblKoersen[EUR prijs],0)</f>
        <v/>
      </c>
    </row>
    <row r="19">
      <c r="A19" t="inlineStr">
        <is>
          <t>Cash &amp; Overig</t>
        </is>
      </c>
      <c r="C19" s="5">
        <f>SUM(tblCash[Bedrag(EUR)])</f>
        <v/>
      </c>
    </row>
    <row r="20">
      <c r="A20" t="inlineStr">
        <is>
          <t>BTC-leningen</t>
        </is>
      </c>
      <c r="C20" s="12">
        <f>SUMIF(tblLeningen[OnderpandType],"BTC",tblLeningen[Openstaand(EUR)])</f>
        <v/>
      </c>
    </row>
    <row r="21">
      <c r="A21" t="inlineStr">
        <is>
          <t>Overige Leningen</t>
        </is>
      </c>
      <c r="C21" s="12">
        <f>SUMIF(tblLeningen[OnderpandType],"Vastgoed",tblLeningen[Openstaand(EUR)])</f>
        <v/>
      </c>
      <c r="F21" s="3" t="inlineStr">
        <is>
          <t>BTC LENING STATUS</t>
        </is>
      </c>
    </row>
    <row r="22">
      <c r="A22" t="inlineStr">
        <is>
          <t>Cash Buffer</t>
        </is>
      </c>
      <c r="C22" s="15">
        <f>'Cash &amp; Overig'!H5</f>
        <v/>
      </c>
      <c r="F22" s="7" t="inlineStr">
        <is>
          <t>Eerste lening:</t>
        </is>
      </c>
    </row>
    <row r="23">
      <c r="F23" t="inlineStr">
        <is>
          <t>LoanID</t>
        </is>
      </c>
      <c r="G23">
        <f>'BTC als Onderpand'!A4</f>
        <v/>
      </c>
    </row>
    <row r="24">
      <c r="F24" t="inlineStr">
        <is>
          <t>Current LTV</t>
        </is>
      </c>
      <c r="G24" s="16">
        <f>'BTC als Onderpand'!G4</f>
        <v/>
      </c>
    </row>
    <row r="25">
      <c r="A25" s="3" t="inlineStr">
        <is>
          <t>NETTO VERMOGEN</t>
        </is>
      </c>
      <c r="F25" t="inlineStr">
        <is>
          <t>Distance to Liq</t>
        </is>
      </c>
      <c r="G25" s="16">
        <f>'BTC als Onderpand'!I4</f>
        <v/>
      </c>
    </row>
    <row r="26">
      <c r="A26" t="inlineStr">
        <is>
          <t>Totaal Activa</t>
        </is>
      </c>
      <c r="C26" s="5">
        <f>C6+C12+C19</f>
        <v/>
      </c>
      <c r="F26" t="inlineStr">
        <is>
          <t>Status</t>
        </is>
      </c>
      <c r="G26">
        <f>'BTC als Onderpand'!J4</f>
        <v/>
      </c>
    </row>
    <row r="27">
      <c r="A27" t="inlineStr">
        <is>
          <t>Totaal Schulden</t>
        </is>
      </c>
      <c r="C27" s="12">
        <f>C13+C14+C20+C21</f>
        <v/>
      </c>
    </row>
    <row r="28">
      <c r="A28" s="17" t="inlineStr">
        <is>
          <t>NETTO VERMOGEN</t>
        </is>
      </c>
      <c r="B28" s="18" t="n"/>
      <c r="C28" s="19">
        <f>C26-C27</f>
        <v/>
      </c>
      <c r="D28" s="18" t="n"/>
    </row>
    <row r="29">
      <c r="F29" s="3" t="inlineStr">
        <is>
          <t>CASHFLOW</t>
        </is>
      </c>
    </row>
    <row r="30">
      <c r="F30" t="inlineStr">
        <is>
          <t>Inkomsten/maand</t>
        </is>
      </c>
      <c r="G30" s="20">
        <f>SUM(tblInkomsten[Netto/maand])</f>
        <v/>
      </c>
    </row>
    <row r="31">
      <c r="F31" t="inlineStr">
        <is>
          <t>Uitgaven/maand</t>
        </is>
      </c>
      <c r="G31" s="12">
        <f>SUM(tblMaandlasten[Bedrag(EUR)])</f>
        <v/>
      </c>
    </row>
    <row r="32">
      <c r="F32" s="7" t="inlineStr">
        <is>
          <t>Netto Cashflow</t>
        </is>
      </c>
      <c r="G32" s="21">
        <f>G30-G31</f>
        <v/>
      </c>
    </row>
    <row r="33">
      <c r="F33" t="inlineStr">
        <is>
          <t>Spaarquote</t>
        </is>
      </c>
      <c r="G33" s="11">
        <f>IF(G30=0,0,G32/G30)</f>
        <v/>
      </c>
    </row>
    <row r="35">
      <c r="F35" t="inlineStr">
        <is>
          <t>Box 3 belasting</t>
        </is>
      </c>
      <c r="G35" s="12">
        <f>Belastingen!B19</f>
        <v/>
      </c>
    </row>
  </sheetData>
  <mergeCells count="9">
    <mergeCell ref="F16:H16"/>
    <mergeCell ref="A18:D18"/>
    <mergeCell ref="A3:D3"/>
    <mergeCell ref="F29:H29"/>
    <mergeCell ref="A25:D25"/>
    <mergeCell ref="A11:D11"/>
    <mergeCell ref="F3:H3"/>
    <mergeCell ref="F21:H21"/>
    <mergeCell ref="F11:H11"/>
  </mergeCells>
  <conditionalFormatting sqref="F4:F6">
    <cfRule type="cellIs" priority="1" operator="equal" dxfId="0">
      <formula>"OK"</formula>
    </cfRule>
    <cfRule type="cellIs" priority="2" operator="equal" dxfId="1">
      <formula>"ALERT"</formula>
    </cfRule>
    <cfRule type="cellIs" priority="3" operator="equal" dxfId="2">
      <formula>"RISK"</formula>
    </cfRule>
    <cfRule type="cellIs" priority="4" operator="equal" dxfId="2">
      <formula>"CRITICAL"</formula>
    </cfRule>
    <cfRule type="cellIs" priority="5" operator="equal" dxfId="3">
      <formula>"INFO"</formula>
    </cfRule>
  </conditionalFormatting>
  <conditionalFormatting sqref="H12:H13">
    <cfRule type="cellIs" priority="6" operator="equal" dxfId="0">
      <formula>"OK"</formula>
    </cfRule>
    <cfRule type="cellIs" priority="7" operator="equal" dxfId="1">
      <formula>"ALERT"</formula>
    </cfRule>
    <cfRule type="cellIs" priority="8" operator="equal" dxfId="2">
      <formula>"RISK"</formula>
    </cfRule>
    <cfRule type="cellIs" priority="9" operator="equal" dxfId="2">
      <formula>"CRITICAL"</formula>
    </cfRule>
  </conditionalFormatting>
  <conditionalFormatting sqref="G26">
    <cfRule type="cellIs" priority="10" operator="equal" dxfId="0">
      <formula>"OK"</formula>
    </cfRule>
    <cfRule type="cellIs" priority="11" operator="equal" dxfId="1">
      <formula>"ALERT"</formula>
    </cfRule>
    <cfRule type="cellIs" priority="12" operator="equal" dxfId="2">
      <formula>"RISK"</formula>
    </cfRule>
    <cfRule type="cellIs" priority="13" operator="equal" dxfId="2">
      <formula>"CRITICAL"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5" customWidth="1" min="4" max="4"/>
    <col width="15" customWidth="1" min="5" max="5"/>
    <col width="12" customWidth="1" min="6" max="6"/>
    <col width="12" customWidth="1" min="7" max="7"/>
    <col width="45" customWidth="1" min="8" max="8"/>
    <col width="50" customWidth="1" min="9" max="9"/>
  </cols>
  <sheetData>
    <row r="1">
      <c r="A1" s="22" t="inlineStr">
        <is>
          <t>Alerts - Inzichten &amp; Acties</t>
        </is>
      </c>
    </row>
    <row r="3">
      <c r="A3" s="23" t="inlineStr">
        <is>
          <t>Date</t>
        </is>
      </c>
      <c r="B3" s="23" t="inlineStr">
        <is>
          <t>Severity</t>
        </is>
      </c>
      <c r="C3" s="23" t="inlineStr">
        <is>
          <t>Category</t>
        </is>
      </c>
      <c r="D3" s="23" t="inlineStr">
        <is>
          <t>Item</t>
        </is>
      </c>
      <c r="E3" s="23" t="inlineStr">
        <is>
          <t>Metric</t>
        </is>
      </c>
      <c r="F3" s="23" t="inlineStr">
        <is>
          <t>Value</t>
        </is>
      </c>
      <c r="G3" s="23" t="inlineStr">
        <is>
          <t>Threshold</t>
        </is>
      </c>
      <c r="H3" s="23" t="inlineStr">
        <is>
          <t>Insight</t>
        </is>
      </c>
      <c r="I3" s="23" t="inlineStr">
        <is>
          <t>SuggestedAction</t>
        </is>
      </c>
    </row>
    <row r="4">
      <c r="A4" s="24">
        <f>TODAY()</f>
        <v/>
      </c>
      <c r="B4">
        <f>IF('BTC als Onderpand'!J4="RISK","CRITICAL",IF('BTC als Onderpand'!J4="ALERT","ALERT",""))</f>
        <v/>
      </c>
      <c r="C4">
        <f>IF(B4="","","BTC Lening")</f>
        <v/>
      </c>
      <c r="D4">
        <f>IF(B4="","",'BTC als Onderpand'!A4)</f>
        <v/>
      </c>
      <c r="E4">
        <f>IF(B4="","","LTV")</f>
        <v/>
      </c>
      <c r="F4" s="16">
        <f>IF(B4="","",'BTC als Onderpand'!G4)</f>
        <v/>
      </c>
      <c r="G4" s="16">
        <f>IF(B4="","",'BTC als Onderpand'!H4)</f>
        <v/>
      </c>
      <c r="H4">
        <f>IF(B4="","",IF(B4="CRITICAL","LTV kritiek - liquidatie dreigt!","LTV te hoog - actie vereist"))</f>
        <v/>
      </c>
      <c r="I4">
        <f>IF(B4="","",CONCAT("Los ",TEXT('BTC als Onderpand'!K4,"€ #.##0")," af OF stort ",TEXT('BTC als Onderpand'!L4,"0.0000")," BTC bij"))</f>
        <v/>
      </c>
    </row>
    <row r="5">
      <c r="A5" s="24">
        <f>TODAY()</f>
        <v/>
      </c>
      <c r="B5">
        <f>IF('Cash &amp; Overig'!H5&lt;XLOOKUP("CashBufferMonthsTarget",tblSettings[Parameter],tblSettings[Waarde]),"ALERT","")</f>
        <v/>
      </c>
      <c r="C5">
        <f>IF(B5="","","Cash Buffer")</f>
        <v/>
      </c>
      <c r="D5">
        <f>IF(B5="","","Totaal Cash")</f>
        <v/>
      </c>
      <c r="E5">
        <f>IF(B5="","","Maanden buffer")</f>
        <v/>
      </c>
      <c r="F5" s="16">
        <f>IF(B5="","",'Cash &amp; Overig'!H5)</f>
        <v/>
      </c>
      <c r="G5" s="16">
        <f>IF(B5="","",XLOOKUP("CashBufferMonthsTarget",tblSettings[Parameter],tblSettings[Waarde]))</f>
        <v/>
      </c>
      <c r="H5">
        <f>IF(B5="","","Cashbuffer onder target - verhoog reserves")</f>
        <v/>
      </c>
      <c r="I5">
        <f>IF(B5="","",CONCAT("Verhoog cash met €",TEXT((B7-'Cash &amp; Overig'!H5)*'Cash &amp; Overig'!H4,"#.##0")))</f>
        <v/>
      </c>
    </row>
    <row r="6">
      <c r="A6" s="24">
        <f>TODAY()</f>
        <v/>
      </c>
      <c r="B6">
        <f>LET(btc_val,SUM(tblBTC[BTC Aantal])*XLOOKUP("BTC",tblKoersen[Symbol],tblKoersen[EUR prijs],0),doge_val,SUM(tblDOGE[DOGE Aantal])*XLOOKUP("DOGE",tblKoersen[Symbol],tblKoersen[EUR prijs],0),crypto_total,btc_val+doge_val,vastgoed_val,SUM(tblVastgoed[Waarde(EUR)]),total,crypto_total+vastgoed_val+SUM(tblCash[Bedrag(EUR)]),concentration,IF(total=0,0,crypto_total/total),threshold,XLOOKUP("ConcentrationAlertPct",tblSettings[Parameter],tblSettings[Waarde]),IF(concentration&gt;threshold,"ALERT",""))</f>
        <v/>
      </c>
      <c r="C6">
        <f>IF(B6="","","Concentratie")</f>
        <v/>
      </c>
      <c r="D6">
        <f>IF(B6="","","Crypto Allocatie")</f>
        <v/>
      </c>
      <c r="E6">
        <f>IF(B6="","","% van totaal")</f>
        <v/>
      </c>
      <c r="F6" s="16">
        <f>IF(B6="","",LET(btc_val,SUM(tblBTC[BTC Aantal])*XLOOKUP("BTC",tblKoersen[Symbol],tblKoersen[EUR prijs],0),doge_val,SUM(tblDOGE[DOGE Aantal])*XLOOKUP("DOGE",tblKoersen[Symbol],tblKoersen[EUR prijs],0),crypto_total,btc_val+doge_val,vastgoed_val,SUM(tblVastgoed[Waarde(EUR)]),total,crypto_total+vastgoed_val+SUM(tblCash[Bedrag(EUR)]),IF(total=0,0,crypto_total/total)))</f>
        <v/>
      </c>
      <c r="G6" s="16">
        <f>IF(B6="","",XLOOKUP("ConcentrationAlertPct",tblSettings[Parameter],tblSettings[Waarde]))</f>
        <v/>
      </c>
      <c r="H6">
        <f>IF(B6="","","Crypto-allocatie te hoog - overweeg diversificatie")</f>
        <v/>
      </c>
      <c r="I6">
        <f>IF(B6="","","Overweeg winst te nemen of te diversifieren naar andere assets")</f>
        <v/>
      </c>
    </row>
    <row r="7">
      <c r="A7" s="24">
        <f>TODAY()</f>
        <v/>
      </c>
      <c r="B7">
        <f>IF(OR('BTC als Onderpand'!F18="RISK",'BTC als Onderpand'!F18="LIQUIDATION"),"ALERT","")</f>
        <v/>
      </c>
      <c r="C7">
        <f>IF(B7="","","Stress Test")</f>
        <v/>
      </c>
      <c r="D7">
        <f>IF(B7="","","Scenario 1")</f>
        <v/>
      </c>
      <c r="E7">
        <f>IF(B7="","","LTV bij daling")</f>
        <v/>
      </c>
      <c r="F7" s="16">
        <f>IF(B7="","",'BTC als Onderpand'!E18)</f>
        <v/>
      </c>
      <c r="G7" s="16">
        <f>IF(B7="","",'BTC als Onderpand'!H4)</f>
        <v/>
      </c>
      <c r="H7">
        <f>IF(B7="","",CONCAT("Bij ",TEXT('BTC als Onderpand'!B18,"0%")," BTC-daling: ",'BTC als Onderpand'!F18))</f>
        <v/>
      </c>
      <c r="I7">
        <f>IF(B7="","","Overweeg preventief af te lossen of collateral te verhogen")</f>
        <v/>
      </c>
    </row>
    <row r="8">
      <c r="A8" s="24">
        <f>TODAY()</f>
        <v/>
      </c>
      <c r="B8">
        <f>IF(OR('BTC als Onderpand'!F19="RISK",'BTC als Onderpand'!F19="LIQUIDATION"),"ALERT","")</f>
        <v/>
      </c>
      <c r="C8">
        <f>IF(B8="","","Stress Test")</f>
        <v/>
      </c>
      <c r="D8">
        <f>IF(B8="","","Scenario 2")</f>
        <v/>
      </c>
      <c r="E8">
        <f>IF(B8="","","LTV bij daling")</f>
        <v/>
      </c>
      <c r="F8" s="16">
        <f>IF(B8="","",'BTC als Onderpand'!E19)</f>
        <v/>
      </c>
      <c r="G8" s="16">
        <f>IF(B8="","",'BTC als Onderpand'!H4)</f>
        <v/>
      </c>
      <c r="H8">
        <f>IF(B8="","",CONCAT("Bij ",TEXT('BTC als Onderpand'!B19,"0%")," BTC-daling: ",'BTC als Onderpand'!F19))</f>
        <v/>
      </c>
      <c r="I8">
        <f>IF(B8="","","Actie vereist: liquidatierisico bij sterke daling")</f>
        <v/>
      </c>
    </row>
    <row r="9">
      <c r="A9" s="24" t="n"/>
      <c r="F9" s="16" t="n"/>
      <c r="G9" s="16" t="n"/>
    </row>
    <row r="10">
      <c r="A10" s="24" t="n"/>
      <c r="F10" s="16" t="n"/>
      <c r="G10" s="16" t="n"/>
    </row>
    <row r="11">
      <c r="A11" s="24" t="n"/>
      <c r="F11" s="16" t="n"/>
      <c r="G11" s="16" t="n"/>
    </row>
    <row r="12">
      <c r="A12" s="24" t="n"/>
      <c r="F12" s="16" t="n"/>
      <c r="G12" s="16" t="n"/>
    </row>
    <row r="13">
      <c r="A13" s="24" t="n"/>
      <c r="F13" s="16" t="n"/>
      <c r="G13" s="16" t="n"/>
    </row>
    <row r="14">
      <c r="A14" s="24" t="n"/>
      <c r="F14" s="16" t="n"/>
      <c r="G14" s="16" t="n"/>
    </row>
    <row r="17">
      <c r="A17" s="7" t="inlineStr">
        <is>
          <t>LEGENDA:</t>
        </is>
      </c>
    </row>
    <row r="18">
      <c r="A18" t="inlineStr">
        <is>
          <t>• Alleen actieve alerts worden getoond (lege rijen = geen alert)</t>
        </is>
      </c>
    </row>
    <row r="19">
      <c r="A19" t="inlineStr">
        <is>
          <t>• CRITICAL = Directe actie vereist</t>
        </is>
      </c>
    </row>
    <row r="20">
      <c r="A20" t="inlineStr">
        <is>
          <t>• ALERT = Aandacht vereist</t>
        </is>
      </c>
    </row>
    <row r="21">
      <c r="A21" t="inlineStr">
        <is>
          <t>• INFO = Ter informatie</t>
        </is>
      </c>
    </row>
  </sheetData>
  <conditionalFormatting sqref="B4:B15">
    <cfRule type="cellIs" priority="1" operator="equal" dxfId="0">
      <formula>"OK"</formula>
    </cfRule>
    <cfRule type="cellIs" priority="2" operator="equal" dxfId="1">
      <formula>"ALERT"</formula>
    </cfRule>
    <cfRule type="cellIs" priority="3" operator="equal" dxfId="2">
      <formula>"RISK"</formula>
    </cfRule>
    <cfRule type="cellIs" priority="4" operator="equal" dxfId="2">
      <formula>"CRITICAL"</formula>
    </cfRule>
    <cfRule type="cellIs" priority="5" operator="equal" dxfId="3">
      <formula>"INFO"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55" customWidth="1" min="4" max="4"/>
    <col width="3" customWidth="1" min="6" max="6"/>
    <col width="12" customWidth="1" min="7" max="7"/>
    <col width="15" customWidth="1" min="8" max="8"/>
    <col width="20" customWidth="1" min="9" max="9"/>
    <col width="30" customWidth="1" min="10" max="10"/>
  </cols>
  <sheetData>
    <row r="1">
      <c r="A1" s="22" t="inlineStr">
        <is>
          <t>Instellingen - Configuratie Parameters</t>
        </is>
      </c>
    </row>
    <row r="3">
      <c r="A3" s="23" t="inlineStr">
        <is>
          <t>Parameter</t>
        </is>
      </c>
      <c r="B3" s="23" t="inlineStr">
        <is>
          <t>Waarde</t>
        </is>
      </c>
      <c r="C3" s="23" t="inlineStr">
        <is>
          <t>Eenheid</t>
        </is>
      </c>
      <c r="D3" s="23" t="inlineStr">
        <is>
          <t>Toelichting</t>
        </is>
      </c>
      <c r="G3" s="3" t="inlineStr">
        <is>
          <t>Lening-Onderpand Koppeling</t>
        </is>
      </c>
    </row>
    <row r="4">
      <c r="A4" t="inlineStr">
        <is>
          <t>RefreshMinutes</t>
        </is>
      </c>
      <c r="B4" t="n">
        <v>10</v>
      </c>
      <c r="C4" t="inlineStr">
        <is>
          <t>minuten</t>
        </is>
      </c>
      <c r="D4" t="inlineStr">
        <is>
          <t>Interval voor automatische koers-refresh in Excel</t>
        </is>
      </c>
      <c r="G4" s="23" t="inlineStr">
        <is>
          <t>LoanID</t>
        </is>
      </c>
      <c r="H4" s="23" t="inlineStr">
        <is>
          <t>CollateralType</t>
        </is>
      </c>
      <c r="I4" s="23" t="inlineStr">
        <is>
          <t>CollateralRef</t>
        </is>
      </c>
      <c r="J4" s="23" t="inlineStr">
        <is>
          <t>Notes</t>
        </is>
      </c>
    </row>
    <row r="5">
      <c r="A5" t="inlineStr">
        <is>
          <t>TargetLTV_BTC</t>
        </is>
      </c>
      <c r="B5" t="n">
        <v>0.3</v>
      </c>
      <c r="C5" t="inlineStr">
        <is>
          <t>ratio</t>
        </is>
      </c>
      <c r="D5" t="inlineStr">
        <is>
          <t>Doel-LTV voor BTC-leningen (30%)</t>
        </is>
      </c>
      <c r="G5" t="inlineStr">
        <is>
          <t>L001</t>
        </is>
      </c>
      <c r="H5" t="inlineStr">
        <is>
          <t>BTC</t>
        </is>
      </c>
      <c r="I5" t="inlineStr">
        <is>
          <t>BlockFi</t>
        </is>
      </c>
      <c r="J5" t="inlineStr">
        <is>
          <t>0.25 BTC als onderpand</t>
        </is>
      </c>
    </row>
    <row r="6">
      <c r="A6" t="inlineStr">
        <is>
          <t>AlertBuffer_BTC</t>
        </is>
      </c>
      <c r="B6" t="n">
        <v>0.1</v>
      </c>
      <c r="C6" t="inlineStr">
        <is>
          <t>ratio</t>
        </is>
      </c>
      <c r="D6" t="inlineStr">
        <is>
          <t>Afstand tot liquidatie waarbij ALERT getriggerd wordt</t>
        </is>
      </c>
    </row>
    <row r="7">
      <c r="A7" t="inlineStr">
        <is>
          <t>RiskBuffer_BTC</t>
        </is>
      </c>
      <c r="B7" t="n">
        <v>0.05</v>
      </c>
      <c r="C7" t="inlineStr">
        <is>
          <t>ratio</t>
        </is>
      </c>
      <c r="D7" t="inlineStr">
        <is>
          <t>Afstand tot liquidatie waarbij RISK getriggerd wordt</t>
        </is>
      </c>
    </row>
    <row r="8">
      <c r="A8" t="inlineStr">
        <is>
          <t>DefaultLiquidationLTV_BTC</t>
        </is>
      </c>
      <c r="B8" t="n">
        <v>0.5</v>
      </c>
      <c r="C8" t="inlineStr">
        <is>
          <t>ratio</t>
        </is>
      </c>
      <c r="D8" t="inlineStr">
        <is>
          <t>Standaard liquidatie-LTV voor BTC-leningen (50%)</t>
        </is>
      </c>
    </row>
    <row r="9">
      <c r="A9" t="inlineStr">
        <is>
          <t>CashBufferMonthsTarget</t>
        </is>
      </c>
      <c r="B9" t="n">
        <v>6</v>
      </c>
      <c r="C9" t="inlineStr">
        <is>
          <t>maanden</t>
        </is>
      </c>
      <c r="D9" t="inlineStr">
        <is>
          <t>Minimaal aantal maanden cashbuffer</t>
        </is>
      </c>
    </row>
    <row r="10">
      <c r="A10" t="inlineStr">
        <is>
          <t>MaxDebtServiceRatio</t>
        </is>
      </c>
      <c r="B10" t="n">
        <v>0.35</v>
      </c>
      <c r="C10" t="inlineStr">
        <is>
          <t>ratio</t>
        </is>
      </c>
      <c r="D10" t="inlineStr">
        <is>
          <t>Maximale schuld-service ratio (35%)</t>
        </is>
      </c>
    </row>
    <row r="11">
      <c r="A11" t="inlineStr">
        <is>
          <t>MonthlyExpenses</t>
        </is>
      </c>
      <c r="B11" t="n">
        <v>5000</v>
      </c>
      <c r="C11" t="inlineStr">
        <is>
          <t>EUR</t>
        </is>
      </c>
      <c r="D11" t="inlineStr">
        <is>
          <t>Geschatte maandelijkse uitgaven (voor cashbuffer berekening)</t>
        </is>
      </c>
    </row>
    <row r="12">
      <c r="A12" t="inlineStr">
        <is>
          <t>StressBTCDown1</t>
        </is>
      </c>
      <c r="B12" t="n">
        <v>-0.2</v>
      </c>
      <c r="C12" t="inlineStr">
        <is>
          <t>percentage</t>
        </is>
      </c>
      <c r="D12" t="inlineStr">
        <is>
          <t>Stress scenario 1: BTC daalt met 20%</t>
        </is>
      </c>
    </row>
    <row r="13">
      <c r="A13" t="inlineStr">
        <is>
          <t>StressBTCDown2</t>
        </is>
      </c>
      <c r="B13" t="n">
        <v>-0.4</v>
      </c>
      <c r="C13" t="inlineStr">
        <is>
          <t>percentage</t>
        </is>
      </c>
      <c r="D13" t="inlineStr">
        <is>
          <t>Stress scenario 2: BTC daalt met 40%</t>
        </is>
      </c>
    </row>
    <row r="14">
      <c r="A14" t="inlineStr">
        <is>
          <t>ConcentrationAlertPct</t>
        </is>
      </c>
      <c r="B14" t="n">
        <v>0.6</v>
      </c>
      <c r="C14" t="inlineStr">
        <is>
          <t>ratio</t>
        </is>
      </c>
      <c r="D14" t="inlineStr">
        <is>
          <t>Alert als crypto &gt; 60% van totaal vermogen</t>
        </is>
      </c>
    </row>
  </sheetData>
  <mergeCells count="1">
    <mergeCell ref="G3:J3"/>
  </mergeCells>
  <dataValidations count="1">
    <dataValidation sqref="H5:H50" showDropDown="0" showInputMessage="0" showErrorMessage="1" allowBlank="1" errorTitle="Ongeldige invoer" error="Kies een waarde uit de lijst: BTC, Vastgoed" type="list">
      <formula1>"BTC,Vastgoed"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5" customWidth="1" min="4" max="4"/>
    <col width="20" customWidth="1" min="5" max="5"/>
  </cols>
  <sheetData>
    <row r="1">
      <c r="A1" s="22" t="inlineStr">
        <is>
          <t>Koersen - Live Prijzen</t>
        </is>
      </c>
    </row>
    <row r="3">
      <c r="A3" s="23" t="inlineStr">
        <is>
          <t>Asset</t>
        </is>
      </c>
      <c r="B3" s="23" t="inlineStr">
        <is>
          <t>Symbol</t>
        </is>
      </c>
      <c r="C3" s="23" t="inlineStr">
        <is>
          <t>EUR prijs</t>
        </is>
      </c>
      <c r="D3" s="23" t="inlineStr">
        <is>
          <t>USD prijs</t>
        </is>
      </c>
      <c r="E3" s="23" t="inlineStr">
        <is>
          <t>Laatste update</t>
        </is>
      </c>
    </row>
    <row r="4">
      <c r="A4" t="inlineStr">
        <is>
          <t>Bitcoin</t>
        </is>
      </c>
      <c r="B4" t="inlineStr">
        <is>
          <t>BTC</t>
        </is>
      </c>
      <c r="C4" s="13" t="n">
        <v>58000</v>
      </c>
      <c r="D4" s="25" t="n">
        <v>62500</v>
      </c>
      <c r="E4" s="2">
        <f>NOW()</f>
        <v/>
      </c>
    </row>
    <row r="5">
      <c r="A5" t="inlineStr">
        <is>
          <t>Dogecoin</t>
        </is>
      </c>
      <c r="B5" t="inlineStr">
        <is>
          <t>DOGE</t>
        </is>
      </c>
      <c r="C5" s="13" t="n">
        <v>0.12</v>
      </c>
      <c r="D5" s="25" t="n">
        <v>0.13</v>
      </c>
      <c r="E5" s="2">
        <f>NOW()</f>
        <v/>
      </c>
    </row>
    <row r="6">
      <c r="C6" s="13" t="n"/>
      <c r="D6" s="25" t="n"/>
      <c r="E6" s="2" t="n"/>
    </row>
    <row r="7">
      <c r="C7" s="13" t="n"/>
      <c r="D7" s="25" t="n"/>
      <c r="E7" s="2" t="n"/>
    </row>
    <row r="8">
      <c r="C8" s="13" t="n"/>
      <c r="D8" s="25" t="n"/>
      <c r="E8" s="2" t="n"/>
    </row>
    <row r="9">
      <c r="C9" s="13" t="n"/>
      <c r="D9" s="25" t="n"/>
      <c r="E9" s="2" t="n"/>
    </row>
    <row r="10">
      <c r="A10" s="26" t="inlineStr">
        <is>
          <t>Let op: Koersen worden bijgewerkt via Power Query. Zie 'Koers-Setup' voor instructies.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Koers-Setup - Power Query Instructies</t>
        </is>
      </c>
    </row>
    <row r="3">
      <c r="A3" s="27" t="inlineStr">
        <is>
          <t>INSTRUCTIES VOOR AUTOMATISCHE KOERSEN VIA POWER QUERY</t>
        </is>
      </c>
    </row>
    <row r="4">
      <c r="A4" t="inlineStr"/>
    </row>
    <row r="5">
      <c r="A5" s="28" t="inlineStr">
        <is>
          <t>1. POWER QUERY INSTELLEN</t>
        </is>
      </c>
    </row>
    <row r="6">
      <c r="A6" t="inlineStr">
        <is>
          <t xml:space="preserve">   a) Ga naar Data &gt; Get Data &gt; From Web</t>
        </is>
      </c>
    </row>
    <row r="7">
      <c r="A7" t="inlineStr">
        <is>
          <t xml:space="preserve">   b) Voer de volgende URL in:</t>
        </is>
      </c>
    </row>
    <row r="8">
      <c r="A8" t="inlineStr">
        <is>
          <t xml:space="preserve">      https://api.coingecko.com/api/v3/simple/price?ids=bitcoin,dogecoin&amp;vs_currencies=eur,usd</t>
        </is>
      </c>
    </row>
    <row r="9">
      <c r="A9" t="inlineStr">
        <is>
          <t xml:space="preserve">   c) Klik OK en wacht tot de data is geladen</t>
        </is>
      </c>
    </row>
    <row r="10">
      <c r="A10" t="inlineStr"/>
    </row>
    <row r="11">
      <c r="A11" s="28" t="inlineStr">
        <is>
          <t>2. DATA TRANSFORMEREN</t>
        </is>
      </c>
    </row>
    <row r="12">
      <c r="A12" t="inlineStr">
        <is>
          <t xml:space="preserve">   a) In Power Query Editor: Transform &gt; To Table</t>
        </is>
      </c>
    </row>
    <row r="13">
      <c r="A13" t="inlineStr">
        <is>
          <t xml:space="preserve">   b) Expand de kolommen om bitcoin.eur, bitcoin.usd, dogecoin.eur, dogecoin.usd te krijgen</t>
        </is>
      </c>
    </row>
    <row r="14">
      <c r="A14" t="inlineStr">
        <is>
          <t xml:space="preserve">   c) Hernoem kolommen naar: Asset, EUR prijs, USD prijs</t>
        </is>
      </c>
    </row>
    <row r="15">
      <c r="A15" t="inlineStr">
        <is>
          <t xml:space="preserve">   d) Voeg een kolom toe voor Laatste update: = DateTime.LocalNow()</t>
        </is>
      </c>
    </row>
    <row r="16">
      <c r="A16" t="inlineStr">
        <is>
          <t xml:space="preserve">   e) Klik Close &amp; Load to... &gt; selecteer de Koersen sheet</t>
        </is>
      </c>
    </row>
    <row r="17">
      <c r="A17" t="inlineStr"/>
    </row>
    <row r="18">
      <c r="A18" s="28" t="inlineStr">
        <is>
          <t>3. AUTOMATISCHE REFRESH INSTELLEN</t>
        </is>
      </c>
    </row>
    <row r="19">
      <c r="A19" t="inlineStr">
        <is>
          <t xml:space="preserve">   a) Selecteer de query in het Queries &amp; Connections panel</t>
        </is>
      </c>
    </row>
    <row r="20">
      <c r="A20" t="inlineStr">
        <is>
          <t xml:space="preserve">   b) Rechtermuisklik &gt; Properties</t>
        </is>
      </c>
    </row>
    <row r="21">
      <c r="A21" t="inlineStr">
        <is>
          <t xml:space="preserve">   c) Vink aan: "Refresh every X minutes" (X = waarde uit Instellingen!RefreshMinutes)</t>
        </is>
      </c>
    </row>
    <row r="22">
      <c r="A22" t="inlineStr">
        <is>
          <t xml:space="preserve">   d) Optioneel: vink "Refresh data when opening the file" aan</t>
        </is>
      </c>
    </row>
    <row r="23">
      <c r="A23" t="inlineStr"/>
    </row>
    <row r="24">
      <c r="A24" s="28" t="inlineStr">
        <is>
          <t>4. ALTERNATIEVE API'S (indien CoinGecko niet werkt)</t>
        </is>
      </c>
    </row>
    <row r="25">
      <c r="A25" t="inlineStr">
        <is>
          <t xml:space="preserve">   - CoinCap: https://api.coincap.io/v2/assets?ids=bitcoin,dogecoin</t>
        </is>
      </c>
    </row>
    <row r="26">
      <c r="A26" t="inlineStr">
        <is>
          <t xml:space="preserve">   - Binance: https://api.binance.com/api/v3/ticker/price?symbols=["BTCEUR","DOGEEUR"]</t>
        </is>
      </c>
    </row>
    <row r="27">
      <c r="A27" t="inlineStr"/>
    </row>
    <row r="28">
      <c r="A28" s="27" t="inlineStr">
        <is>
          <t>BELANGRIJKE OPMERKINGEN</t>
        </is>
      </c>
    </row>
    <row r="29">
      <c r="A29" t="inlineStr">
        <is>
          <t>- De gratis CoinGecko API heeft rate limits (10-30 calls/minuut)</t>
        </is>
      </c>
    </row>
    <row r="30">
      <c r="A30" t="inlineStr">
        <is>
          <t>- Bij problemen: verhoog RefreshMinutes in Instellingen</t>
        </is>
      </c>
    </row>
    <row r="31">
      <c r="A31" t="inlineStr">
        <is>
          <t>- Test de connectie eerst handmatig voordat je automatische refresh aanzet</t>
        </is>
      </c>
    </row>
    <row r="32">
      <c r="A32" t="inlineStr"/>
    </row>
    <row r="33">
      <c r="A33" s="27" t="inlineStr">
        <is>
          <t>HANDMATIGE UPDATE</t>
        </is>
      </c>
    </row>
    <row r="34">
      <c r="A34" t="inlineStr">
        <is>
          <t>Als Power Query niet werkt, kun je de koersen handmatig invoeren in de Koersen sheet.</t>
        </is>
      </c>
    </row>
    <row r="35">
      <c r="A35" t="inlineStr">
        <is>
          <t>De berekeningen en alerts werken dan nog steeds correct.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30" customWidth="1" min="5" max="5"/>
    <col width="3" customWidth="1" min="6" max="6"/>
    <col width="12" customWidth="1" min="7" max="7"/>
    <col width="15" customWidth="1" min="8" max="8"/>
  </cols>
  <sheetData>
    <row r="1">
      <c r="A1" s="22" t="inlineStr">
        <is>
          <t>Bitcoin Holdings</t>
        </is>
      </c>
    </row>
    <row r="2">
      <c r="G2" s="7" t="inlineStr">
        <is>
          <t>Totaal BTC:</t>
        </is>
      </c>
      <c r="H2" s="29">
        <f>SUM(tblBTC[BTC Aantal])</f>
        <v/>
      </c>
    </row>
    <row r="3">
      <c r="A3" s="23" t="inlineStr">
        <is>
          <t>Datum</t>
        </is>
      </c>
      <c r="B3" s="23" t="inlineStr">
        <is>
          <t>Wallet/Platform</t>
        </is>
      </c>
      <c r="C3" s="23" t="inlineStr">
        <is>
          <t>BTC Aantal</t>
        </is>
      </c>
      <c r="D3" s="23" t="inlineStr">
        <is>
          <t>Type</t>
        </is>
      </c>
      <c r="E3" s="23" t="inlineStr">
        <is>
          <t>Opmerking</t>
        </is>
      </c>
      <c r="G3" t="inlineStr">
        <is>
          <t>Spot:</t>
        </is>
      </c>
      <c r="H3" s="30">
        <f>SUMIF(tblBTC[Type],"Spot",tblBTC[BTC Aantal])</f>
        <v/>
      </c>
    </row>
    <row r="4">
      <c r="A4" s="24" t="inlineStr">
        <is>
          <t>2024-01-15</t>
        </is>
      </c>
      <c r="B4" t="inlineStr">
        <is>
          <t>Hardware Wallet</t>
        </is>
      </c>
      <c r="C4" s="30" t="n">
        <v>0.5</v>
      </c>
      <c r="D4" t="inlineStr">
        <is>
          <t>Spot</t>
        </is>
      </c>
      <c r="E4" t="inlineStr">
        <is>
          <t>Cold storage</t>
        </is>
      </c>
      <c r="G4" t="inlineStr">
        <is>
          <t>Collateral:</t>
        </is>
      </c>
      <c r="H4" s="30">
        <f>SUMIF(tblBTC[Type],"Collateral",tblBTC[BTC Aantal])</f>
        <v/>
      </c>
    </row>
    <row r="5">
      <c r="A5" s="24" t="inlineStr">
        <is>
          <t>2024-02-01</t>
        </is>
      </c>
      <c r="B5" t="inlineStr">
        <is>
          <t>BlockFi</t>
        </is>
      </c>
      <c r="C5" s="30" t="n">
        <v>0.25</v>
      </c>
      <c r="D5" t="inlineStr">
        <is>
          <t>Collateral</t>
        </is>
      </c>
      <c r="E5" t="inlineStr">
        <is>
          <t>Onderpand voor lening L001</t>
        </is>
      </c>
    </row>
    <row r="6">
      <c r="A6" s="24" t="inlineStr">
        <is>
          <t>2024-03-10</t>
        </is>
      </c>
      <c r="B6" t="inlineStr">
        <is>
          <t>Bitvavo</t>
        </is>
      </c>
      <c r="C6" s="30" t="n">
        <v>0.15</v>
      </c>
      <c r="D6" t="inlineStr">
        <is>
          <t>Spot</t>
        </is>
      </c>
      <c r="E6" t="inlineStr">
        <is>
          <t>Exchange</t>
        </is>
      </c>
    </row>
    <row r="7">
      <c r="A7" s="24" t="n"/>
      <c r="C7" s="30" t="n"/>
    </row>
    <row r="8">
      <c r="A8" s="24" t="n"/>
      <c r="C8" s="30" t="n"/>
    </row>
    <row r="9">
      <c r="A9" s="24" t="n"/>
      <c r="C9" s="30" t="n"/>
    </row>
    <row r="10">
      <c r="A10" s="24" t="n"/>
      <c r="C10" s="30" t="n"/>
    </row>
    <row r="11">
      <c r="A11" s="24" t="n"/>
      <c r="C11" s="30" t="n"/>
    </row>
    <row r="12">
      <c r="A12" s="24" t="n"/>
      <c r="C12" s="30" t="n"/>
    </row>
    <row r="13">
      <c r="A13" s="24" t="n"/>
      <c r="C13" s="30" t="n"/>
    </row>
    <row r="14">
      <c r="A14" s="24" t="n"/>
      <c r="C14" s="30" t="n"/>
    </row>
    <row r="15">
      <c r="A15" s="24" t="n"/>
      <c r="C15" s="30" t="n"/>
    </row>
    <row r="16">
      <c r="A16" s="24" t="n"/>
      <c r="C16" s="30" t="n"/>
    </row>
    <row r="17">
      <c r="A17" s="24" t="n"/>
      <c r="C17" s="30" t="n"/>
    </row>
    <row r="18">
      <c r="A18" s="24" t="n"/>
      <c r="C18" s="30" t="n"/>
    </row>
    <row r="19">
      <c r="A19" s="24" t="n"/>
      <c r="C19" s="30" t="n"/>
    </row>
    <row r="20">
      <c r="A20" s="24" t="n"/>
      <c r="C20" s="30" t="n"/>
    </row>
    <row r="21">
      <c r="A21" s="24" t="n"/>
      <c r="C21" s="30" t="n"/>
    </row>
    <row r="22">
      <c r="A22" s="24" t="n"/>
      <c r="C22" s="30" t="n"/>
    </row>
    <row r="23">
      <c r="A23" s="24" t="n"/>
      <c r="C23" s="30" t="n"/>
    </row>
    <row r="24">
      <c r="A24" s="24" t="n"/>
      <c r="C24" s="30" t="n"/>
    </row>
    <row r="25">
      <c r="A25" s="24" t="n"/>
      <c r="C25" s="30" t="n"/>
    </row>
    <row r="26">
      <c r="A26" s="24" t="n"/>
      <c r="C26" s="30" t="n"/>
    </row>
    <row r="27">
      <c r="A27" s="24" t="n"/>
      <c r="C27" s="30" t="n"/>
    </row>
    <row r="28">
      <c r="A28" s="24" t="n"/>
      <c r="C28" s="30" t="n"/>
    </row>
    <row r="29">
      <c r="A29" s="24" t="n"/>
      <c r="C29" s="30" t="n"/>
    </row>
    <row r="30">
      <c r="A30" s="24" t="n"/>
      <c r="C30" s="30" t="n"/>
    </row>
    <row r="31">
      <c r="A31" s="24" t="n"/>
      <c r="C31" s="30" t="n"/>
    </row>
    <row r="32">
      <c r="A32" s="24" t="n"/>
      <c r="C32" s="30" t="n"/>
    </row>
    <row r="33">
      <c r="A33" s="24" t="n"/>
      <c r="C33" s="30" t="n"/>
    </row>
    <row r="34">
      <c r="A34" s="24" t="n"/>
      <c r="C34" s="30" t="n"/>
    </row>
    <row r="35">
      <c r="A35" s="24" t="n"/>
      <c r="C35" s="30" t="n"/>
    </row>
    <row r="36">
      <c r="A36" s="24" t="n"/>
      <c r="C36" s="30" t="n"/>
    </row>
    <row r="37">
      <c r="A37" s="24" t="n"/>
      <c r="C37" s="30" t="n"/>
    </row>
    <row r="38">
      <c r="A38" s="24" t="n"/>
      <c r="C38" s="30" t="n"/>
    </row>
    <row r="39">
      <c r="A39" s="24" t="n"/>
      <c r="C39" s="30" t="n"/>
    </row>
    <row r="40">
      <c r="A40" s="24" t="n"/>
      <c r="C40" s="30" t="n"/>
    </row>
    <row r="41">
      <c r="A41" s="24" t="n"/>
      <c r="C41" s="30" t="n"/>
    </row>
    <row r="42">
      <c r="A42" s="24" t="n"/>
      <c r="C42" s="30" t="n"/>
    </row>
    <row r="43">
      <c r="A43" s="24" t="n"/>
      <c r="C43" s="30" t="n"/>
    </row>
    <row r="44">
      <c r="A44" s="24" t="n"/>
      <c r="C44" s="30" t="n"/>
    </row>
    <row r="45">
      <c r="A45" s="24" t="n"/>
      <c r="C45" s="30" t="n"/>
    </row>
    <row r="46">
      <c r="A46" s="24" t="n"/>
      <c r="C46" s="30" t="n"/>
    </row>
    <row r="47">
      <c r="A47" s="24" t="n"/>
      <c r="C47" s="30" t="n"/>
    </row>
    <row r="48">
      <c r="A48" s="24" t="n"/>
      <c r="C48" s="30" t="n"/>
    </row>
    <row r="49">
      <c r="A49" s="24" t="n"/>
      <c r="C49" s="30" t="n"/>
    </row>
    <row r="50">
      <c r="A50" s="24" t="n"/>
      <c r="C50" s="30" t="n"/>
    </row>
    <row r="51">
      <c r="A51" s="24" t="n"/>
      <c r="C51" s="30" t="n"/>
    </row>
    <row r="52">
      <c r="A52" s="24" t="n"/>
      <c r="C52" s="30" t="n"/>
    </row>
    <row r="53">
      <c r="A53" s="24" t="n"/>
      <c r="C53" s="30" t="n"/>
    </row>
    <row r="54">
      <c r="A54" s="24" t="n"/>
      <c r="C54" s="30" t="n"/>
    </row>
    <row r="55">
      <c r="A55" s="24" t="n"/>
      <c r="C55" s="30" t="n"/>
    </row>
    <row r="56">
      <c r="A56" s="24" t="n"/>
      <c r="C56" s="30" t="n"/>
    </row>
    <row r="57">
      <c r="A57" s="24" t="n"/>
      <c r="C57" s="30" t="n"/>
    </row>
    <row r="58">
      <c r="A58" s="24" t="n"/>
      <c r="C58" s="30" t="n"/>
    </row>
    <row r="59">
      <c r="A59" s="24" t="n"/>
      <c r="C59" s="30" t="n"/>
    </row>
    <row r="60">
      <c r="A60" s="24" t="n"/>
      <c r="C60" s="30" t="n"/>
    </row>
    <row r="61">
      <c r="A61" s="24" t="n"/>
      <c r="C61" s="30" t="n"/>
    </row>
    <row r="62">
      <c r="A62" s="24" t="n"/>
      <c r="C62" s="30" t="n"/>
    </row>
    <row r="63">
      <c r="A63" s="24" t="n"/>
      <c r="C63" s="30" t="n"/>
    </row>
    <row r="64">
      <c r="A64" s="24" t="n"/>
      <c r="C64" s="30" t="n"/>
    </row>
    <row r="65">
      <c r="A65" s="24" t="n"/>
      <c r="C65" s="30" t="n"/>
    </row>
    <row r="66">
      <c r="A66" s="24" t="n"/>
      <c r="C66" s="30" t="n"/>
    </row>
    <row r="67">
      <c r="A67" s="24" t="n"/>
      <c r="C67" s="30" t="n"/>
    </row>
    <row r="68">
      <c r="A68" s="24" t="n"/>
      <c r="C68" s="30" t="n"/>
    </row>
    <row r="69">
      <c r="A69" s="24" t="n"/>
      <c r="C69" s="30" t="n"/>
    </row>
    <row r="70">
      <c r="A70" s="24" t="n"/>
      <c r="C70" s="30" t="n"/>
    </row>
    <row r="71">
      <c r="A71" s="24" t="n"/>
      <c r="C71" s="30" t="n"/>
    </row>
    <row r="72">
      <c r="A72" s="24" t="n"/>
      <c r="C72" s="30" t="n"/>
    </row>
    <row r="73">
      <c r="A73" s="24" t="n"/>
      <c r="C73" s="30" t="n"/>
    </row>
    <row r="74">
      <c r="A74" s="24" t="n"/>
      <c r="C74" s="30" t="n"/>
    </row>
    <row r="75">
      <c r="A75" s="24" t="n"/>
      <c r="C75" s="30" t="n"/>
    </row>
    <row r="76">
      <c r="A76" s="24" t="n"/>
      <c r="C76" s="30" t="n"/>
    </row>
    <row r="77">
      <c r="A77" s="24" t="n"/>
      <c r="C77" s="30" t="n"/>
    </row>
    <row r="78">
      <c r="A78" s="24" t="n"/>
      <c r="C78" s="30" t="n"/>
    </row>
    <row r="79">
      <c r="A79" s="24" t="n"/>
      <c r="C79" s="30" t="n"/>
    </row>
    <row r="80">
      <c r="A80" s="24" t="n"/>
      <c r="C80" s="30" t="n"/>
    </row>
    <row r="81">
      <c r="A81" s="24" t="n"/>
      <c r="C81" s="30" t="n"/>
    </row>
    <row r="82">
      <c r="A82" s="24" t="n"/>
      <c r="C82" s="30" t="n"/>
    </row>
    <row r="83">
      <c r="A83" s="24" t="n"/>
      <c r="C83" s="30" t="n"/>
    </row>
    <row r="84">
      <c r="A84" s="24" t="n"/>
      <c r="C84" s="30" t="n"/>
    </row>
    <row r="85">
      <c r="A85" s="24" t="n"/>
      <c r="C85" s="30" t="n"/>
    </row>
    <row r="86">
      <c r="A86" s="24" t="n"/>
      <c r="C86" s="30" t="n"/>
    </row>
    <row r="87">
      <c r="A87" s="24" t="n"/>
      <c r="C87" s="30" t="n"/>
    </row>
    <row r="88">
      <c r="A88" s="24" t="n"/>
      <c r="C88" s="30" t="n"/>
    </row>
    <row r="89">
      <c r="A89" s="24" t="n"/>
      <c r="C89" s="30" t="n"/>
    </row>
    <row r="90">
      <c r="A90" s="24" t="n"/>
      <c r="C90" s="30" t="n"/>
    </row>
    <row r="91">
      <c r="A91" s="24" t="n"/>
      <c r="C91" s="30" t="n"/>
    </row>
    <row r="92">
      <c r="A92" s="24" t="n"/>
      <c r="C92" s="30" t="n"/>
    </row>
    <row r="93">
      <c r="A93" s="24" t="n"/>
      <c r="C93" s="30" t="n"/>
    </row>
    <row r="94">
      <c r="A94" s="24" t="n"/>
      <c r="C94" s="30" t="n"/>
    </row>
    <row r="95">
      <c r="A95" s="24" t="n"/>
      <c r="C95" s="30" t="n"/>
    </row>
    <row r="96">
      <c r="A96" s="24" t="n"/>
      <c r="C96" s="30" t="n"/>
    </row>
    <row r="97">
      <c r="A97" s="24" t="n"/>
      <c r="C97" s="30" t="n"/>
    </row>
    <row r="98">
      <c r="A98" s="24" t="n"/>
      <c r="C98" s="30" t="n"/>
    </row>
    <row r="99">
      <c r="A99" s="24" t="n"/>
      <c r="C99" s="30" t="n"/>
    </row>
  </sheetData>
  <dataValidations count="1">
    <dataValidation sqref="D4:D100" showDropDown="0" showInputMessage="0" showErrorMessage="1" allowBlank="1" errorTitle="Ongeldige invoer" error="Kies een waarde uit de lijst: Spot, Collateral" type="list">
      <formula1>"Spot,Collateral"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  <col width="30" customWidth="1" min="5" max="5"/>
    <col width="3" customWidth="1" min="6" max="6"/>
    <col width="12" customWidth="1" min="7" max="7"/>
    <col width="15" customWidth="1" min="8" max="8"/>
  </cols>
  <sheetData>
    <row r="1">
      <c r="A1" s="22" t="inlineStr">
        <is>
          <t>Dogecoin Holdings</t>
        </is>
      </c>
    </row>
    <row r="2">
      <c r="G2" s="7" t="inlineStr">
        <is>
          <t>Totaal DOGE:</t>
        </is>
      </c>
      <c r="H2" s="31">
        <f>SUM(tblDOGE[DOGE Aantal])</f>
        <v/>
      </c>
    </row>
    <row r="3">
      <c r="A3" s="23" t="inlineStr">
        <is>
          <t>Datum</t>
        </is>
      </c>
      <c r="B3" s="23" t="inlineStr">
        <is>
          <t>Wallet/Platform</t>
        </is>
      </c>
      <c r="C3" s="23" t="inlineStr">
        <is>
          <t>DOGE Aantal</t>
        </is>
      </c>
      <c r="D3" s="23" t="inlineStr">
        <is>
          <t>Type</t>
        </is>
      </c>
      <c r="E3" s="23" t="inlineStr">
        <is>
          <t>Opmerking</t>
        </is>
      </c>
    </row>
    <row r="4">
      <c r="A4" s="24" t="inlineStr">
        <is>
          <t>2024-01-20</t>
        </is>
      </c>
      <c r="B4" t="inlineStr">
        <is>
          <t>Bitvavo</t>
        </is>
      </c>
      <c r="C4" s="32" t="n">
        <v>10000</v>
      </c>
      <c r="D4" t="inlineStr">
        <is>
          <t>Spot</t>
        </is>
      </c>
      <c r="E4" t="inlineStr"/>
    </row>
    <row r="5">
      <c r="A5" s="24" t="inlineStr">
        <is>
          <t>2024-02-15</t>
        </is>
      </c>
      <c r="B5" t="inlineStr">
        <is>
          <t>Kraken</t>
        </is>
      </c>
      <c r="C5" s="32" t="n">
        <v>5000</v>
      </c>
      <c r="D5" t="inlineStr">
        <is>
          <t>Spot</t>
        </is>
      </c>
      <c r="E5" t="inlineStr"/>
    </row>
    <row r="6">
      <c r="A6" s="24" t="n"/>
      <c r="C6" s="32" t="n"/>
    </row>
    <row r="7">
      <c r="A7" s="24" t="n"/>
      <c r="C7" s="32" t="n"/>
    </row>
    <row r="8">
      <c r="A8" s="24" t="n"/>
      <c r="C8" s="32" t="n"/>
    </row>
    <row r="9">
      <c r="A9" s="24" t="n"/>
      <c r="C9" s="32" t="n"/>
    </row>
    <row r="10">
      <c r="A10" s="24" t="n"/>
      <c r="C10" s="32" t="n"/>
    </row>
    <row r="11">
      <c r="A11" s="24" t="n"/>
      <c r="C11" s="32" t="n"/>
    </row>
    <row r="12">
      <c r="A12" s="24" t="n"/>
      <c r="C12" s="32" t="n"/>
    </row>
    <row r="13">
      <c r="A13" s="24" t="n"/>
      <c r="C13" s="32" t="n"/>
    </row>
    <row r="14">
      <c r="A14" s="24" t="n"/>
      <c r="C14" s="32" t="n"/>
    </row>
    <row r="15">
      <c r="A15" s="24" t="n"/>
      <c r="C15" s="32" t="n"/>
    </row>
    <row r="16">
      <c r="A16" s="24" t="n"/>
      <c r="C16" s="32" t="n"/>
    </row>
    <row r="17">
      <c r="A17" s="24" t="n"/>
      <c r="C17" s="32" t="n"/>
    </row>
    <row r="18">
      <c r="A18" s="24" t="n"/>
      <c r="C18" s="32" t="n"/>
    </row>
    <row r="19">
      <c r="A19" s="24" t="n"/>
      <c r="C19" s="32" t="n"/>
    </row>
    <row r="20">
      <c r="A20" s="24" t="n"/>
      <c r="C20" s="32" t="n"/>
    </row>
    <row r="21">
      <c r="A21" s="24" t="n"/>
      <c r="C21" s="32" t="n"/>
    </row>
    <row r="22">
      <c r="A22" s="24" t="n"/>
      <c r="C22" s="32" t="n"/>
    </row>
    <row r="23">
      <c r="A23" s="24" t="n"/>
      <c r="C23" s="32" t="n"/>
    </row>
    <row r="24">
      <c r="A24" s="24" t="n"/>
      <c r="C24" s="32" t="n"/>
    </row>
    <row r="25">
      <c r="A25" s="24" t="n"/>
      <c r="C25" s="32" t="n"/>
    </row>
    <row r="26">
      <c r="A26" s="24" t="n"/>
      <c r="C26" s="32" t="n"/>
    </row>
    <row r="27">
      <c r="A27" s="24" t="n"/>
      <c r="C27" s="32" t="n"/>
    </row>
    <row r="28">
      <c r="A28" s="24" t="n"/>
      <c r="C28" s="32" t="n"/>
    </row>
    <row r="29">
      <c r="A29" s="24" t="n"/>
      <c r="C29" s="32" t="n"/>
    </row>
    <row r="30">
      <c r="A30" s="24" t="n"/>
      <c r="C30" s="32" t="n"/>
    </row>
    <row r="31">
      <c r="A31" s="24" t="n"/>
      <c r="C31" s="32" t="n"/>
    </row>
    <row r="32">
      <c r="A32" s="24" t="n"/>
      <c r="C32" s="32" t="n"/>
    </row>
    <row r="33">
      <c r="A33" s="24" t="n"/>
      <c r="C33" s="32" t="n"/>
    </row>
    <row r="34">
      <c r="A34" s="24" t="n"/>
      <c r="C34" s="32" t="n"/>
    </row>
    <row r="35">
      <c r="A35" s="24" t="n"/>
      <c r="C35" s="32" t="n"/>
    </row>
    <row r="36">
      <c r="A36" s="24" t="n"/>
      <c r="C36" s="32" t="n"/>
    </row>
    <row r="37">
      <c r="A37" s="24" t="n"/>
      <c r="C37" s="32" t="n"/>
    </row>
    <row r="38">
      <c r="A38" s="24" t="n"/>
      <c r="C38" s="32" t="n"/>
    </row>
    <row r="39">
      <c r="A39" s="24" t="n"/>
      <c r="C39" s="32" t="n"/>
    </row>
    <row r="40">
      <c r="A40" s="24" t="n"/>
      <c r="C40" s="32" t="n"/>
    </row>
    <row r="41">
      <c r="A41" s="24" t="n"/>
      <c r="C41" s="32" t="n"/>
    </row>
    <row r="42">
      <c r="A42" s="24" t="n"/>
      <c r="C42" s="32" t="n"/>
    </row>
    <row r="43">
      <c r="A43" s="24" t="n"/>
      <c r="C43" s="32" t="n"/>
    </row>
    <row r="44">
      <c r="A44" s="24" t="n"/>
      <c r="C44" s="32" t="n"/>
    </row>
    <row r="45">
      <c r="A45" s="24" t="n"/>
      <c r="C45" s="32" t="n"/>
    </row>
    <row r="46">
      <c r="A46" s="24" t="n"/>
      <c r="C46" s="32" t="n"/>
    </row>
    <row r="47">
      <c r="A47" s="24" t="n"/>
      <c r="C47" s="32" t="n"/>
    </row>
    <row r="48">
      <c r="A48" s="24" t="n"/>
      <c r="C48" s="32" t="n"/>
    </row>
    <row r="49">
      <c r="A49" s="24" t="n"/>
      <c r="C49" s="32" t="n"/>
    </row>
    <row r="50">
      <c r="A50" s="24" t="n"/>
      <c r="C50" s="32" t="n"/>
    </row>
    <row r="51">
      <c r="A51" s="24" t="n"/>
      <c r="C51" s="32" t="n"/>
    </row>
    <row r="52">
      <c r="A52" s="24" t="n"/>
      <c r="C52" s="32" t="n"/>
    </row>
    <row r="53">
      <c r="A53" s="24" t="n"/>
      <c r="C53" s="32" t="n"/>
    </row>
    <row r="54">
      <c r="A54" s="24" t="n"/>
      <c r="C54" s="32" t="n"/>
    </row>
    <row r="55">
      <c r="A55" s="24" t="n"/>
      <c r="C55" s="32" t="n"/>
    </row>
    <row r="56">
      <c r="A56" s="24" t="n"/>
      <c r="C56" s="32" t="n"/>
    </row>
    <row r="57">
      <c r="A57" s="24" t="n"/>
      <c r="C57" s="32" t="n"/>
    </row>
    <row r="58">
      <c r="A58" s="24" t="n"/>
      <c r="C58" s="32" t="n"/>
    </row>
    <row r="59">
      <c r="A59" s="24" t="n"/>
      <c r="C59" s="32" t="n"/>
    </row>
    <row r="60">
      <c r="A60" s="24" t="n"/>
      <c r="C60" s="32" t="n"/>
    </row>
    <row r="61">
      <c r="A61" s="24" t="n"/>
      <c r="C61" s="32" t="n"/>
    </row>
    <row r="62">
      <c r="A62" s="24" t="n"/>
      <c r="C62" s="32" t="n"/>
    </row>
    <row r="63">
      <c r="A63" s="24" t="n"/>
      <c r="C63" s="32" t="n"/>
    </row>
    <row r="64">
      <c r="A64" s="24" t="n"/>
      <c r="C64" s="32" t="n"/>
    </row>
    <row r="65">
      <c r="A65" s="24" t="n"/>
      <c r="C65" s="32" t="n"/>
    </row>
    <row r="66">
      <c r="A66" s="24" t="n"/>
      <c r="C66" s="32" t="n"/>
    </row>
    <row r="67">
      <c r="A67" s="24" t="n"/>
      <c r="C67" s="32" t="n"/>
    </row>
    <row r="68">
      <c r="A68" s="24" t="n"/>
      <c r="C68" s="32" t="n"/>
    </row>
    <row r="69">
      <c r="A69" s="24" t="n"/>
      <c r="C69" s="32" t="n"/>
    </row>
    <row r="70">
      <c r="A70" s="24" t="n"/>
      <c r="C70" s="32" t="n"/>
    </row>
    <row r="71">
      <c r="A71" s="24" t="n"/>
      <c r="C71" s="32" t="n"/>
    </row>
    <row r="72">
      <c r="A72" s="24" t="n"/>
      <c r="C72" s="32" t="n"/>
    </row>
    <row r="73">
      <c r="A73" s="24" t="n"/>
      <c r="C73" s="32" t="n"/>
    </row>
    <row r="74">
      <c r="A74" s="24" t="n"/>
      <c r="C74" s="32" t="n"/>
    </row>
    <row r="75">
      <c r="A75" s="24" t="n"/>
      <c r="C75" s="32" t="n"/>
    </row>
    <row r="76">
      <c r="A76" s="24" t="n"/>
      <c r="C76" s="32" t="n"/>
    </row>
    <row r="77">
      <c r="A77" s="24" t="n"/>
      <c r="C77" s="32" t="n"/>
    </row>
    <row r="78">
      <c r="A78" s="24" t="n"/>
      <c r="C78" s="32" t="n"/>
    </row>
    <row r="79">
      <c r="A79" s="24" t="n"/>
      <c r="C79" s="32" t="n"/>
    </row>
    <row r="80">
      <c r="A80" s="24" t="n"/>
      <c r="C80" s="32" t="n"/>
    </row>
    <row r="81">
      <c r="A81" s="24" t="n"/>
      <c r="C81" s="32" t="n"/>
    </row>
    <row r="82">
      <c r="A82" s="24" t="n"/>
      <c r="C82" s="32" t="n"/>
    </row>
    <row r="83">
      <c r="A83" s="24" t="n"/>
      <c r="C83" s="32" t="n"/>
    </row>
    <row r="84">
      <c r="A84" s="24" t="n"/>
      <c r="C84" s="32" t="n"/>
    </row>
    <row r="85">
      <c r="A85" s="24" t="n"/>
      <c r="C85" s="32" t="n"/>
    </row>
    <row r="86">
      <c r="A86" s="24" t="n"/>
      <c r="C86" s="32" t="n"/>
    </row>
    <row r="87">
      <c r="A87" s="24" t="n"/>
      <c r="C87" s="32" t="n"/>
    </row>
    <row r="88">
      <c r="A88" s="24" t="n"/>
      <c r="C88" s="32" t="n"/>
    </row>
    <row r="89">
      <c r="A89" s="24" t="n"/>
      <c r="C89" s="32" t="n"/>
    </row>
    <row r="90">
      <c r="A90" s="24" t="n"/>
      <c r="C90" s="32" t="n"/>
    </row>
    <row r="91">
      <c r="A91" s="24" t="n"/>
      <c r="C91" s="32" t="n"/>
    </row>
    <row r="92">
      <c r="A92" s="24" t="n"/>
      <c r="C92" s="32" t="n"/>
    </row>
    <row r="93">
      <c r="A93" s="24" t="n"/>
      <c r="C93" s="32" t="n"/>
    </row>
    <row r="94">
      <c r="A94" s="24" t="n"/>
      <c r="C94" s="32" t="n"/>
    </row>
    <row r="95">
      <c r="A95" s="24" t="n"/>
      <c r="C95" s="32" t="n"/>
    </row>
    <row r="96">
      <c r="A96" s="24" t="n"/>
      <c r="C96" s="32" t="n"/>
    </row>
    <row r="97">
      <c r="A97" s="24" t="n"/>
      <c r="C97" s="32" t="n"/>
    </row>
    <row r="98">
      <c r="A98" s="24" t="n"/>
      <c r="C98" s="32" t="n"/>
    </row>
    <row r="99">
      <c r="A99" s="24" t="n"/>
      <c r="C99" s="32" t="n"/>
    </row>
  </sheetData>
  <dataValidations count="1">
    <dataValidation sqref="D4:D100" showDropDown="0" showInputMessage="0" showErrorMessage="1" allowBlank="1" errorTitle="Ongeldige invoer" error="Kies een waarde uit de lijst: Spot, Collateral" type="list">
      <formula1>"Spot,Collateral"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3" customWidth="1" min="8" max="8"/>
    <col width="15" customWidth="1" min="9" max="9"/>
    <col width="15" customWidth="1" min="10" max="10"/>
  </cols>
  <sheetData>
    <row r="1">
      <c r="A1" s="22" t="inlineStr">
        <is>
          <t>Vastgoed - Onroerend Goed</t>
        </is>
      </c>
    </row>
    <row r="2">
      <c r="I2" s="7" t="inlineStr">
        <is>
          <t>Totale Waarde:</t>
        </is>
      </c>
      <c r="J2" s="21">
        <f>SUM(tblVastgoed[Waarde(EUR)])</f>
        <v/>
      </c>
    </row>
    <row r="3">
      <c r="A3" s="23" t="inlineStr">
        <is>
          <t>Pand</t>
        </is>
      </c>
      <c r="B3" s="23" t="inlineStr">
        <is>
          <t>Adres</t>
        </is>
      </c>
      <c r="C3" s="23" t="inlineStr">
        <is>
          <t>Type</t>
        </is>
      </c>
      <c r="D3" s="23" t="inlineStr">
        <is>
          <t>Waarde(EUR)</t>
        </is>
      </c>
      <c r="E3" s="23" t="inlineStr">
        <is>
          <t>Hypotheek(EUR)</t>
        </is>
      </c>
      <c r="F3" s="23" t="inlineStr">
        <is>
          <t>Overige Leningen(EUR)</t>
        </is>
      </c>
      <c r="G3" s="23" t="inlineStr">
        <is>
          <t>Netto Waarde</t>
        </is>
      </c>
      <c r="I3" t="inlineStr">
        <is>
          <t>Totale Schuld:</t>
        </is>
      </c>
      <c r="J3" s="5">
        <f>SUM(tblVastgoed[Hypotheek(EUR)])+SUM(tblVastgoed[Overige Leningen(EUR)])</f>
        <v/>
      </c>
    </row>
    <row r="4">
      <c r="A4" t="inlineStr">
        <is>
          <t>Woning Amsterdam</t>
        </is>
      </c>
      <c r="B4" t="inlineStr">
        <is>
          <t>Voorbeeldstraat 123, Amsterdam</t>
        </is>
      </c>
      <c r="C4" t="inlineStr">
        <is>
          <t>Eigen woning</t>
        </is>
      </c>
      <c r="D4" s="5" t="n">
        <v>650000</v>
      </c>
      <c r="E4" s="5" t="n">
        <v>400000</v>
      </c>
      <c r="F4" s="5" t="n">
        <v>0</v>
      </c>
      <c r="G4" s="5">
        <f>IF(D4="","",D4-E4-F4)</f>
        <v/>
      </c>
      <c r="I4" t="inlineStr">
        <is>
          <t>Netto Waarde:</t>
        </is>
      </c>
      <c r="J4" s="5">
        <f>SUM(tblVastgoed[Netto Waarde])</f>
        <v/>
      </c>
    </row>
    <row r="5">
      <c r="A5" t="inlineStr">
        <is>
          <t>Appartement Utrecht</t>
        </is>
      </c>
      <c r="B5" t="inlineStr">
        <is>
          <t>Voorbeeldlaan 45, Utrecht</t>
        </is>
      </c>
      <c r="C5" t="inlineStr">
        <is>
          <t>Verhuur</t>
        </is>
      </c>
      <c r="D5" s="5" t="n">
        <v>350000</v>
      </c>
      <c r="E5" s="5" t="n">
        <v>200000</v>
      </c>
      <c r="F5" s="5" t="n">
        <v>25000</v>
      </c>
      <c r="G5" s="5">
        <f>IF(D5="","",D5-E5-F5)</f>
        <v/>
      </c>
    </row>
    <row r="6">
      <c r="D6" s="5" t="n"/>
      <c r="E6" s="5" t="n"/>
      <c r="F6" s="5" t="n"/>
      <c r="G6" s="5">
        <f>IF(D6="","",D6-E6-F6)</f>
        <v/>
      </c>
    </row>
    <row r="7">
      <c r="D7" s="5" t="n"/>
      <c r="E7" s="5" t="n"/>
      <c r="F7" s="5" t="n"/>
      <c r="G7" s="5">
        <f>IF(D7="","",D7-E7-F7)</f>
        <v/>
      </c>
    </row>
    <row r="8">
      <c r="D8" s="5" t="n"/>
      <c r="E8" s="5" t="n"/>
      <c r="F8" s="5" t="n"/>
      <c r="G8" s="5">
        <f>IF(D8="","",D8-E8-F8)</f>
        <v/>
      </c>
    </row>
    <row r="9">
      <c r="D9" s="5" t="n"/>
      <c r="E9" s="5" t="n"/>
      <c r="F9" s="5" t="n"/>
      <c r="G9" s="5">
        <f>IF(D9="","",D9-E9-F9)</f>
        <v/>
      </c>
    </row>
    <row r="10">
      <c r="D10" s="5" t="n"/>
      <c r="E10" s="5" t="n"/>
      <c r="F10" s="5" t="n"/>
      <c r="G10" s="5">
        <f>IF(D10="","",D10-E10-F10)</f>
        <v/>
      </c>
    </row>
    <row r="11">
      <c r="D11" s="5" t="n"/>
      <c r="E11" s="5" t="n"/>
      <c r="F11" s="5" t="n"/>
      <c r="G11" s="5">
        <f>IF(D11="","",D11-E11-F11)</f>
        <v/>
      </c>
    </row>
    <row r="12">
      <c r="D12" s="5" t="n"/>
      <c r="E12" s="5" t="n"/>
      <c r="F12" s="5" t="n"/>
      <c r="G12" s="5">
        <f>IF(D12="","",D12-E12-F12)</f>
        <v/>
      </c>
    </row>
    <row r="13">
      <c r="D13" s="5" t="n"/>
      <c r="E13" s="5" t="n"/>
      <c r="F13" s="5" t="n"/>
      <c r="G13" s="5">
        <f>IF(D13="","",D13-E13-F13)</f>
        <v/>
      </c>
    </row>
    <row r="14">
      <c r="D14" s="5" t="n"/>
      <c r="E14" s="5" t="n"/>
      <c r="F14" s="5" t="n"/>
      <c r="G14" s="5">
        <f>IF(D14="","",D14-E14-F14)</f>
        <v/>
      </c>
    </row>
    <row r="15">
      <c r="D15" s="5" t="n"/>
      <c r="E15" s="5" t="n"/>
      <c r="F15" s="5" t="n"/>
      <c r="G15" s="5">
        <f>IF(D15="","",D15-E15-F15)</f>
        <v/>
      </c>
    </row>
    <row r="16">
      <c r="D16" s="5" t="n"/>
      <c r="E16" s="5" t="n"/>
      <c r="F16" s="5" t="n"/>
      <c r="G16" s="5">
        <f>IF(D16="","",D16-E16-F16)</f>
        <v/>
      </c>
    </row>
    <row r="17">
      <c r="D17" s="5" t="n"/>
      <c r="E17" s="5" t="n"/>
      <c r="F17" s="5" t="n"/>
      <c r="G17" s="5">
        <f>IF(D17="","",D17-E17-F17)</f>
        <v/>
      </c>
    </row>
    <row r="18">
      <c r="D18" s="5" t="n"/>
      <c r="E18" s="5" t="n"/>
      <c r="F18" s="5" t="n"/>
      <c r="G18" s="5">
        <f>IF(D18="","",D18-E18-F18)</f>
        <v/>
      </c>
    </row>
    <row r="19">
      <c r="D19" s="5" t="n"/>
      <c r="E19" s="5" t="n"/>
      <c r="F19" s="5" t="n"/>
      <c r="G19" s="5">
        <f>IF(D19="","",D19-E19-F19)</f>
        <v/>
      </c>
    </row>
    <row r="20">
      <c r="D20" s="5" t="n"/>
      <c r="E20" s="5" t="n"/>
      <c r="F20" s="5" t="n"/>
      <c r="G20" s="5" t="n"/>
    </row>
    <row r="21">
      <c r="D21" s="5" t="n"/>
      <c r="E21" s="5" t="n"/>
      <c r="F21" s="5" t="n"/>
      <c r="G21" s="5" t="n"/>
    </row>
    <row r="22">
      <c r="D22" s="5" t="n"/>
      <c r="E22" s="5" t="n"/>
      <c r="F22" s="5" t="n"/>
      <c r="G22" s="5" t="n"/>
    </row>
    <row r="23">
      <c r="D23" s="5" t="n"/>
      <c r="E23" s="5" t="n"/>
      <c r="F23" s="5" t="n"/>
      <c r="G23" s="5" t="n"/>
    </row>
    <row r="24">
      <c r="D24" s="5" t="n"/>
      <c r="E24" s="5" t="n"/>
      <c r="F24" s="5" t="n"/>
      <c r="G24" s="5" t="n"/>
    </row>
    <row r="25">
      <c r="D25" s="5" t="n"/>
      <c r="E25" s="5" t="n"/>
      <c r="F25" s="5" t="n"/>
      <c r="G25" s="5" t="n"/>
    </row>
    <row r="26">
      <c r="D26" s="5" t="n"/>
      <c r="E26" s="5" t="n"/>
      <c r="F26" s="5" t="n"/>
      <c r="G26" s="5" t="n"/>
    </row>
    <row r="27">
      <c r="D27" s="5" t="n"/>
      <c r="E27" s="5" t="n"/>
      <c r="F27" s="5" t="n"/>
      <c r="G27" s="5" t="n"/>
    </row>
    <row r="28">
      <c r="D28" s="5" t="n"/>
      <c r="E28" s="5" t="n"/>
      <c r="F28" s="5" t="n"/>
      <c r="G28" s="5" t="n"/>
    </row>
    <row r="29">
      <c r="D29" s="5" t="n"/>
      <c r="E29" s="5" t="n"/>
      <c r="F29" s="5" t="n"/>
      <c r="G29" s="5" t="n"/>
    </row>
    <row r="30">
      <c r="D30" s="5" t="n"/>
      <c r="E30" s="5" t="n"/>
      <c r="F30" s="5" t="n"/>
      <c r="G30" s="5" t="n"/>
    </row>
    <row r="31">
      <c r="D31" s="5" t="n"/>
      <c r="E31" s="5" t="n"/>
      <c r="F31" s="5" t="n"/>
      <c r="G31" s="5" t="n"/>
    </row>
    <row r="32">
      <c r="D32" s="5" t="n"/>
      <c r="E32" s="5" t="n"/>
      <c r="F32" s="5" t="n"/>
      <c r="G32" s="5" t="n"/>
    </row>
    <row r="33">
      <c r="D33" s="5" t="n"/>
      <c r="E33" s="5" t="n"/>
      <c r="F33" s="5" t="n"/>
      <c r="G33" s="5" t="n"/>
    </row>
    <row r="34">
      <c r="D34" s="5" t="n"/>
      <c r="E34" s="5" t="n"/>
      <c r="F34" s="5" t="n"/>
      <c r="G34" s="5" t="n"/>
    </row>
    <row r="35">
      <c r="D35" s="5" t="n"/>
      <c r="E35" s="5" t="n"/>
      <c r="F35" s="5" t="n"/>
      <c r="G35" s="5" t="n"/>
    </row>
    <row r="36">
      <c r="D36" s="5" t="n"/>
      <c r="E36" s="5" t="n"/>
      <c r="F36" s="5" t="n"/>
      <c r="G36" s="5" t="n"/>
    </row>
    <row r="37">
      <c r="D37" s="5" t="n"/>
      <c r="E37" s="5" t="n"/>
      <c r="F37" s="5" t="n"/>
      <c r="G37" s="5" t="n"/>
    </row>
    <row r="38">
      <c r="D38" s="5" t="n"/>
      <c r="E38" s="5" t="n"/>
      <c r="F38" s="5" t="n"/>
      <c r="G38" s="5" t="n"/>
    </row>
    <row r="39">
      <c r="D39" s="5" t="n"/>
      <c r="E39" s="5" t="n"/>
      <c r="F39" s="5" t="n"/>
      <c r="G39" s="5" t="n"/>
    </row>
    <row r="40">
      <c r="D40" s="5" t="n"/>
      <c r="E40" s="5" t="n"/>
      <c r="F40" s="5" t="n"/>
      <c r="G40" s="5" t="n"/>
    </row>
    <row r="41">
      <c r="D41" s="5" t="n"/>
      <c r="E41" s="5" t="n"/>
      <c r="F41" s="5" t="n"/>
      <c r="G41" s="5" t="n"/>
    </row>
    <row r="42">
      <c r="D42" s="5" t="n"/>
      <c r="E42" s="5" t="n"/>
      <c r="F42" s="5" t="n"/>
      <c r="G42" s="5" t="n"/>
    </row>
    <row r="43">
      <c r="D43" s="5" t="n"/>
      <c r="E43" s="5" t="n"/>
      <c r="F43" s="5" t="n"/>
      <c r="G43" s="5" t="n"/>
    </row>
    <row r="44">
      <c r="D44" s="5" t="n"/>
      <c r="E44" s="5" t="n"/>
      <c r="F44" s="5" t="n"/>
      <c r="G44" s="5" t="n"/>
    </row>
    <row r="45">
      <c r="D45" s="5" t="n"/>
      <c r="E45" s="5" t="n"/>
      <c r="F45" s="5" t="n"/>
      <c r="G45" s="5" t="n"/>
    </row>
    <row r="46">
      <c r="D46" s="5" t="n"/>
      <c r="E46" s="5" t="n"/>
      <c r="F46" s="5" t="n"/>
      <c r="G46" s="5" t="n"/>
    </row>
    <row r="47">
      <c r="D47" s="5" t="n"/>
      <c r="E47" s="5" t="n"/>
      <c r="F47" s="5" t="n"/>
      <c r="G47" s="5" t="n"/>
    </row>
    <row r="48">
      <c r="D48" s="5" t="n"/>
      <c r="E48" s="5" t="n"/>
      <c r="F48" s="5" t="n"/>
      <c r="G48" s="5" t="n"/>
    </row>
    <row r="49">
      <c r="D49" s="5" t="n"/>
      <c r="E49" s="5" t="n"/>
      <c r="F49" s="5" t="n"/>
      <c r="G49" s="5" t="n"/>
    </row>
  </sheetData>
  <dataValidations count="1">
    <dataValidation sqref="C4:C50" showDropDown="0" showInputMessage="0" showErrorMessage="1" allowBlank="1" errorTitle="Ongeldige invoer" error="Kies een waarde uit de lijst: Eigen woning, Verhuur, Vakantiewoning, Overig" type="list">
      <formula1>"Eigen woning,Verhuur,Vakantiewoning,Overig"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5" customWidth="1" min="5" max="5"/>
    <col width="14" customWidth="1" min="6" max="6"/>
    <col width="14" customWidth="1" min="7" max="7"/>
    <col width="10" customWidth="1" min="8" max="8"/>
    <col width="12" customWidth="1" min="9" max="9"/>
    <col width="12" customWidth="1" min="10" max="10"/>
    <col width="25" customWidth="1" min="11" max="11"/>
    <col width="3" customWidth="1" min="12" max="12"/>
    <col width="18" customWidth="1" min="13" max="13"/>
    <col width="15" customWidth="1" min="14" max="14"/>
  </cols>
  <sheetData>
    <row r="1">
      <c r="A1" s="22" t="inlineStr">
        <is>
          <t>Leningen - Overzicht</t>
        </is>
      </c>
    </row>
    <row r="2">
      <c r="M2" s="7" t="inlineStr">
        <is>
          <t>Totaal Openstaand:</t>
        </is>
      </c>
      <c r="N2" s="33">
        <f>SUM(tblLeningen[Openstaand(EUR)])</f>
        <v/>
      </c>
    </row>
    <row r="3">
      <c r="A3" s="23" t="inlineStr">
        <is>
          <t>LoanID</t>
        </is>
      </c>
      <c r="B3" s="23" t="inlineStr">
        <is>
          <t>Datum</t>
        </is>
      </c>
      <c r="C3" s="23" t="inlineStr">
        <is>
          <t>OnderpandType</t>
        </is>
      </c>
      <c r="D3" s="23" t="inlineStr">
        <is>
          <t>OnderpandRef</t>
        </is>
      </c>
      <c r="E3" s="23" t="inlineStr">
        <is>
          <t>Lener</t>
        </is>
      </c>
      <c r="F3" s="23" t="inlineStr">
        <is>
          <t>Hoofdsom(EUR)</t>
        </is>
      </c>
      <c r="G3" s="23" t="inlineStr">
        <is>
          <t>Openstaand(EUR)</t>
        </is>
      </c>
      <c r="H3" s="23" t="inlineStr">
        <is>
          <t>Rente%</t>
        </is>
      </c>
      <c r="I3" s="23" t="inlineStr">
        <is>
          <t>Looptijd</t>
        </is>
      </c>
      <c r="J3" s="23" t="inlineStr">
        <is>
          <t>LiquidatieLTV</t>
        </is>
      </c>
      <c r="K3" s="23" t="inlineStr">
        <is>
          <t>Opmerking</t>
        </is>
      </c>
      <c r="M3" t="inlineStr">
        <is>
          <t>BTC-leningen:</t>
        </is>
      </c>
      <c r="N3" s="13">
        <f>SUMIF(tblLeningen[OnderpandType],"BTC",tblLeningen[Openstaand(EUR)])</f>
        <v/>
      </c>
    </row>
    <row r="4">
      <c r="A4" t="inlineStr">
        <is>
          <t>L001</t>
        </is>
      </c>
      <c r="B4" s="24" t="inlineStr">
        <is>
          <t>2024-02-01</t>
        </is>
      </c>
      <c r="C4" t="inlineStr">
        <is>
          <t>BTC</t>
        </is>
      </c>
      <c r="D4" t="inlineStr">
        <is>
          <t>BlockFi</t>
        </is>
      </c>
      <c r="E4" t="inlineStr">
        <is>
          <t>BlockFi</t>
        </is>
      </c>
      <c r="F4" s="13" t="n">
        <v>5000</v>
      </c>
      <c r="G4" s="13" t="n">
        <v>4800</v>
      </c>
      <c r="H4" s="16" t="n">
        <v>0.08</v>
      </c>
      <c r="I4" t="inlineStr">
        <is>
          <t>12 maanden</t>
        </is>
      </c>
      <c r="J4" s="16" t="n">
        <v>0.5</v>
      </c>
      <c r="K4" t="inlineStr">
        <is>
          <t>BTC-backed loan</t>
        </is>
      </c>
      <c r="M4" t="inlineStr">
        <is>
          <t>Vastgoed-leningen:</t>
        </is>
      </c>
      <c r="N4" s="13">
        <f>SUMIF(tblLeningen[OnderpandType],"Vastgoed",tblLeningen[Openstaand(EUR)])</f>
        <v/>
      </c>
    </row>
    <row r="5">
      <c r="A5" t="inlineStr">
        <is>
          <t>L002</t>
        </is>
      </c>
      <c r="B5" s="24" t="inlineStr">
        <is>
          <t>2023-06-01</t>
        </is>
      </c>
      <c r="C5" t="inlineStr">
        <is>
          <t>Vastgoed</t>
        </is>
      </c>
      <c r="D5" t="inlineStr">
        <is>
          <t>Appartement Utrecht</t>
        </is>
      </c>
      <c r="E5" t="inlineStr">
        <is>
          <t>ING Bank</t>
        </is>
      </c>
      <c r="F5" s="13" t="n">
        <v>30000</v>
      </c>
      <c r="G5" s="13" t="n">
        <v>25000</v>
      </c>
      <c r="H5" s="16" t="n">
        <v>0.045</v>
      </c>
      <c r="I5" t="inlineStr">
        <is>
          <t>60 maanden</t>
        </is>
      </c>
      <c r="J5" s="16" t="n"/>
      <c r="K5" t="inlineStr">
        <is>
          <t>Verbouwingslening</t>
        </is>
      </c>
    </row>
    <row r="6">
      <c r="B6" s="24" t="n"/>
      <c r="F6" s="13" t="n"/>
      <c r="G6" s="13" t="n"/>
      <c r="H6" s="16" t="n"/>
      <c r="J6" s="16" t="n"/>
    </row>
    <row r="7">
      <c r="B7" s="24" t="n"/>
      <c r="F7" s="13" t="n"/>
      <c r="G7" s="13" t="n"/>
      <c r="H7" s="16" t="n"/>
      <c r="J7" s="16" t="n"/>
    </row>
    <row r="8">
      <c r="B8" s="24" t="n"/>
      <c r="F8" s="13" t="n"/>
      <c r="G8" s="13" t="n"/>
      <c r="H8" s="16" t="n"/>
      <c r="J8" s="16" t="n"/>
    </row>
    <row r="9">
      <c r="B9" s="24" t="n"/>
      <c r="F9" s="13" t="n"/>
      <c r="G9" s="13" t="n"/>
      <c r="H9" s="16" t="n"/>
      <c r="J9" s="16" t="n"/>
    </row>
    <row r="10">
      <c r="B10" s="24" t="n"/>
      <c r="F10" s="13" t="n"/>
      <c r="G10" s="13" t="n"/>
      <c r="H10" s="16" t="n"/>
      <c r="J10" s="16" t="n"/>
    </row>
    <row r="11">
      <c r="B11" s="24" t="n"/>
      <c r="F11" s="13" t="n"/>
      <c r="G11" s="13" t="n"/>
      <c r="H11" s="16" t="n"/>
      <c r="J11" s="16" t="n"/>
    </row>
    <row r="12">
      <c r="B12" s="24" t="n"/>
      <c r="F12" s="13" t="n"/>
      <c r="G12" s="13" t="n"/>
      <c r="H12" s="16" t="n"/>
      <c r="J12" s="16" t="n"/>
    </row>
    <row r="13">
      <c r="B13" s="24" t="n"/>
      <c r="F13" s="13" t="n"/>
      <c r="G13" s="13" t="n"/>
      <c r="H13" s="16" t="n"/>
      <c r="J13" s="16" t="n"/>
    </row>
    <row r="14">
      <c r="B14" s="24" t="n"/>
      <c r="F14" s="13" t="n"/>
      <c r="G14" s="13" t="n"/>
      <c r="H14" s="16" t="n"/>
      <c r="J14" s="16" t="n"/>
    </row>
    <row r="15">
      <c r="B15" s="24" t="n"/>
      <c r="F15" s="13" t="n"/>
      <c r="G15" s="13" t="n"/>
      <c r="H15" s="16" t="n"/>
      <c r="J15" s="16" t="n"/>
    </row>
    <row r="16">
      <c r="B16" s="24" t="n"/>
      <c r="F16" s="13" t="n"/>
      <c r="G16" s="13" t="n"/>
      <c r="H16" s="16" t="n"/>
      <c r="J16" s="16" t="n"/>
    </row>
    <row r="17">
      <c r="B17" s="24" t="n"/>
      <c r="F17" s="13" t="n"/>
      <c r="G17" s="13" t="n"/>
      <c r="H17" s="16" t="n"/>
      <c r="J17" s="16" t="n"/>
    </row>
    <row r="18">
      <c r="B18" s="24" t="n"/>
      <c r="F18" s="13" t="n"/>
      <c r="G18" s="13" t="n"/>
      <c r="H18" s="16" t="n"/>
      <c r="J18" s="16" t="n"/>
    </row>
    <row r="19">
      <c r="B19" s="24" t="n"/>
      <c r="F19" s="13" t="n"/>
      <c r="G19" s="13" t="n"/>
      <c r="H19" s="16" t="n"/>
      <c r="J19" s="16" t="n"/>
    </row>
    <row r="20">
      <c r="B20" s="24" t="n"/>
      <c r="F20" s="13" t="n"/>
      <c r="G20" s="13" t="n"/>
      <c r="H20" s="16" t="n"/>
      <c r="J20" s="16" t="n"/>
    </row>
    <row r="21">
      <c r="B21" s="24" t="n"/>
      <c r="F21" s="13" t="n"/>
      <c r="G21" s="13" t="n"/>
      <c r="H21" s="16" t="n"/>
      <c r="J21" s="16" t="n"/>
    </row>
    <row r="22">
      <c r="B22" s="24" t="n"/>
      <c r="F22" s="13" t="n"/>
      <c r="G22" s="13" t="n"/>
      <c r="H22" s="16" t="n"/>
      <c r="J22" s="16" t="n"/>
    </row>
    <row r="23">
      <c r="B23" s="24" t="n"/>
      <c r="F23" s="13" t="n"/>
      <c r="G23" s="13" t="n"/>
      <c r="H23" s="16" t="n"/>
      <c r="J23" s="16" t="n"/>
    </row>
    <row r="24">
      <c r="B24" s="24" t="n"/>
      <c r="F24" s="13" t="n"/>
      <c r="G24" s="13" t="n"/>
      <c r="H24" s="16" t="n"/>
      <c r="J24" s="16" t="n"/>
    </row>
    <row r="25">
      <c r="B25" s="24" t="n"/>
      <c r="F25" s="13" t="n"/>
      <c r="G25" s="13" t="n"/>
      <c r="H25" s="16" t="n"/>
      <c r="J25" s="16" t="n"/>
    </row>
    <row r="26">
      <c r="B26" s="24" t="n"/>
      <c r="F26" s="13" t="n"/>
      <c r="G26" s="13" t="n"/>
      <c r="H26" s="16" t="n"/>
      <c r="J26" s="16" t="n"/>
    </row>
    <row r="27">
      <c r="B27" s="24" t="n"/>
      <c r="F27" s="13" t="n"/>
      <c r="G27" s="13" t="n"/>
      <c r="H27" s="16" t="n"/>
      <c r="J27" s="16" t="n"/>
    </row>
    <row r="28">
      <c r="B28" s="24" t="n"/>
      <c r="F28" s="13" t="n"/>
      <c r="G28" s="13" t="n"/>
      <c r="H28" s="16" t="n"/>
      <c r="J28" s="16" t="n"/>
    </row>
    <row r="29">
      <c r="B29" s="24" t="n"/>
      <c r="F29" s="13" t="n"/>
      <c r="G29" s="13" t="n"/>
      <c r="H29" s="16" t="n"/>
      <c r="J29" s="16" t="n"/>
    </row>
    <row r="30">
      <c r="B30" s="24" t="n"/>
      <c r="F30" s="13" t="n"/>
      <c r="G30" s="13" t="n"/>
      <c r="H30" s="16" t="n"/>
      <c r="J30" s="16" t="n"/>
    </row>
    <row r="31">
      <c r="B31" s="24" t="n"/>
      <c r="F31" s="13" t="n"/>
      <c r="G31" s="13" t="n"/>
      <c r="H31" s="16" t="n"/>
      <c r="J31" s="16" t="n"/>
    </row>
    <row r="32">
      <c r="B32" s="24" t="n"/>
      <c r="F32" s="13" t="n"/>
      <c r="G32" s="13" t="n"/>
      <c r="H32" s="16" t="n"/>
      <c r="J32" s="16" t="n"/>
    </row>
    <row r="33">
      <c r="B33" s="24" t="n"/>
      <c r="F33" s="13" t="n"/>
      <c r="G33" s="13" t="n"/>
      <c r="H33" s="16" t="n"/>
      <c r="J33" s="16" t="n"/>
    </row>
    <row r="34">
      <c r="B34" s="24" t="n"/>
      <c r="F34" s="13" t="n"/>
      <c r="G34" s="13" t="n"/>
      <c r="H34" s="16" t="n"/>
      <c r="J34" s="16" t="n"/>
    </row>
    <row r="35">
      <c r="B35" s="24" t="n"/>
      <c r="F35" s="13" t="n"/>
      <c r="G35" s="13" t="n"/>
      <c r="H35" s="16" t="n"/>
      <c r="J35" s="16" t="n"/>
    </row>
    <row r="36">
      <c r="B36" s="24" t="n"/>
      <c r="F36" s="13" t="n"/>
      <c r="G36" s="13" t="n"/>
      <c r="H36" s="16" t="n"/>
      <c r="J36" s="16" t="n"/>
    </row>
    <row r="37">
      <c r="B37" s="24" t="n"/>
      <c r="F37" s="13" t="n"/>
      <c r="G37" s="13" t="n"/>
      <c r="H37" s="16" t="n"/>
      <c r="J37" s="16" t="n"/>
    </row>
    <row r="38">
      <c r="B38" s="24" t="n"/>
      <c r="F38" s="13" t="n"/>
      <c r="G38" s="13" t="n"/>
      <c r="H38" s="16" t="n"/>
      <c r="J38" s="16" t="n"/>
    </row>
    <row r="39">
      <c r="B39" s="24" t="n"/>
      <c r="F39" s="13" t="n"/>
      <c r="G39" s="13" t="n"/>
      <c r="H39" s="16" t="n"/>
      <c r="J39" s="16" t="n"/>
    </row>
    <row r="40">
      <c r="B40" s="24" t="n"/>
      <c r="F40" s="13" t="n"/>
      <c r="G40" s="13" t="n"/>
      <c r="H40" s="16" t="n"/>
      <c r="J40" s="16" t="n"/>
    </row>
    <row r="41">
      <c r="B41" s="24" t="n"/>
      <c r="F41" s="13" t="n"/>
      <c r="G41" s="13" t="n"/>
      <c r="H41" s="16" t="n"/>
      <c r="J41" s="16" t="n"/>
    </row>
    <row r="42">
      <c r="B42" s="24" t="n"/>
      <c r="F42" s="13" t="n"/>
      <c r="G42" s="13" t="n"/>
      <c r="H42" s="16" t="n"/>
      <c r="J42" s="16" t="n"/>
    </row>
    <row r="43">
      <c r="B43" s="24" t="n"/>
      <c r="F43" s="13" t="n"/>
      <c r="G43" s="13" t="n"/>
      <c r="H43" s="16" t="n"/>
      <c r="J43" s="16" t="n"/>
    </row>
    <row r="44">
      <c r="B44" s="24" t="n"/>
      <c r="F44" s="13" t="n"/>
      <c r="G44" s="13" t="n"/>
      <c r="H44" s="16" t="n"/>
      <c r="J44" s="16" t="n"/>
    </row>
    <row r="45">
      <c r="B45" s="24" t="n"/>
      <c r="F45" s="13" t="n"/>
      <c r="G45" s="13" t="n"/>
      <c r="H45" s="16" t="n"/>
      <c r="J45" s="16" t="n"/>
    </row>
    <row r="46">
      <c r="B46" s="24" t="n"/>
      <c r="F46" s="13" t="n"/>
      <c r="G46" s="13" t="n"/>
      <c r="H46" s="16" t="n"/>
      <c r="J46" s="16" t="n"/>
    </row>
    <row r="47">
      <c r="B47" s="24" t="n"/>
      <c r="F47" s="13" t="n"/>
      <c r="G47" s="13" t="n"/>
      <c r="H47" s="16" t="n"/>
      <c r="J47" s="16" t="n"/>
    </row>
    <row r="48">
      <c r="B48" s="24" t="n"/>
      <c r="F48" s="13" t="n"/>
      <c r="G48" s="13" t="n"/>
      <c r="H48" s="16" t="n"/>
      <c r="J48" s="16" t="n"/>
    </row>
    <row r="49">
      <c r="B49" s="24" t="n"/>
      <c r="F49" s="13" t="n"/>
      <c r="G49" s="13" t="n"/>
      <c r="H49" s="16" t="n"/>
      <c r="J49" s="16" t="n"/>
    </row>
  </sheetData>
  <dataValidations count="1">
    <dataValidation sqref="C4:C50" showDropDown="0" showInputMessage="0" showErrorMessage="1" allowBlank="1" errorTitle="Ongeldige invoer" error="Kies een waarde uit de lijst: BTC, Vastgoed" type="list">
      <formula1>"BTC,Vastgoed"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4" customWidth="1" min="5" max="5"/>
    <col width="16" customWidth="1" min="6" max="6"/>
    <col width="12" customWidth="1" min="7" max="7"/>
    <col width="13" customWidth="1" min="8" max="8"/>
    <col width="13" customWidth="1" min="9" max="9"/>
    <col width="10" customWidth="1" min="10" max="10"/>
    <col width="16" customWidth="1" min="11" max="11"/>
    <col width="14" customWidth="1" min="12" max="12"/>
  </cols>
  <sheetData>
    <row r="1">
      <c r="A1" s="22" t="inlineStr">
        <is>
          <t>BTC als Onderpand - LTV Monitor</t>
        </is>
      </c>
    </row>
    <row r="3">
      <c r="A3" s="23" t="inlineStr">
        <is>
          <t>LoanID</t>
        </is>
      </c>
      <c r="B3" s="23" t="inlineStr">
        <is>
          <t>Platform/Lener</t>
        </is>
      </c>
      <c r="C3" s="23" t="inlineStr">
        <is>
          <t>BTC Onderpand</t>
        </is>
      </c>
      <c r="D3" s="23" t="inlineStr">
        <is>
          <t>Openstaand(EUR)</t>
        </is>
      </c>
      <c r="E3" s="23" t="inlineStr">
        <is>
          <t>BTC prijs(EUR)</t>
        </is>
      </c>
      <c r="F3" s="23" t="inlineStr">
        <is>
          <t>CollateralValue(EUR)</t>
        </is>
      </c>
      <c r="G3" s="23" t="inlineStr">
        <is>
          <t>CurrentLTV</t>
        </is>
      </c>
      <c r="H3" s="23" t="inlineStr">
        <is>
          <t>LiquidationLTV</t>
        </is>
      </c>
      <c r="I3" s="23" t="inlineStr">
        <is>
          <t>DistanceToLiq</t>
        </is>
      </c>
      <c r="J3" s="23" t="inlineStr">
        <is>
          <t>Status</t>
        </is>
      </c>
      <c r="K3" s="23" t="inlineStr">
        <is>
          <t>RequiredRepayEUR</t>
        </is>
      </c>
      <c r="L3" s="23" t="inlineStr">
        <is>
          <t>RequiredAddBTC</t>
        </is>
      </c>
    </row>
    <row r="4">
      <c r="A4">
        <f>IFERROR(INDEX(tblLeningen[LoanID],SMALL(IF(tblLeningen[OnderpandType]="BTC",ROW(tblLeningen[OnderpandType])-ROW(tblLeningen[[#Headers],[OnderpandType]])),1)),"")</f>
        <v/>
      </c>
      <c r="B4">
        <f>IF(A4="","",XLOOKUP(A4,tblLeningen[LoanID],tblLeningen[Lener],""))</f>
        <v/>
      </c>
      <c r="C4" s="30">
        <f>IF(A4="","",IFERROR(SUMIF(tblBTC[Wallet/Platform],XLOOKUP(A4,tblLeningen[LoanID],tblLeningen[OnderpandRef],""),tblBTC[BTC Aantal]),0))</f>
        <v/>
      </c>
      <c r="D4" s="13">
        <f>IF(A4="","",XLOOKUP(A4,tblLeningen[LoanID],tblLeningen[Openstaand(EUR)],0))</f>
        <v/>
      </c>
      <c r="E4" s="13">
        <f>IF(A4="","",XLOOKUP("BTC",tblKoersen[Symbol],tblKoersen[EUR prijs],0))</f>
        <v/>
      </c>
      <c r="F4" s="13">
        <f>IF(A4="","",C4*E4)</f>
        <v/>
      </c>
      <c r="G4" s="16">
        <f>IF(OR(A4="",F4=0),"",D4/F4)</f>
        <v/>
      </c>
      <c r="H4" s="16">
        <f>IF(A4="","",IF(XLOOKUP(A4,tblLeningen[LoanID],tblLeningen[LiquidatieLTV],"")="",XLOOKUP("DefaultLiquidationLTV_BTC",tblSettings[Parameter],tblSettings[Waarde]),XLOOKUP(A4,tblLeningen[LoanID],tblLeningen[LiquidatieLTV])))</f>
        <v/>
      </c>
      <c r="I4" s="16">
        <f>IF(OR(A4="",G4=""),"",H4-G4)</f>
        <v/>
      </c>
      <c r="J4">
        <f>IF(A4="","",IF(I4&lt;=XLOOKUP("RiskBuffer_BTC",tblSettings[Parameter],tblSettings[Waarde]),"RISK",IF(I4&lt;=XLOOKUP("AlertBuffer_BTC",tblSettings[Parameter],tblSettings[Waarde]),"ALERT","OK")))</f>
        <v/>
      </c>
      <c r="K4" s="13">
        <f>IF(OR(A4="",J4="OK"),"",MAX(0,D4-(XLOOKUP("TargetLTV_BTC",tblSettings[Parameter],tblSettings[Waarde])*F4)))</f>
        <v/>
      </c>
      <c r="L4" s="30">
        <f>IF(OR(A4="",J4="OK"),"",MAX(0,(D4/XLOOKUP("TargetLTV_BTC",tblSettings[Parameter],tblSettings[Waarde])-F4)/E4))</f>
        <v/>
      </c>
    </row>
    <row r="5">
      <c r="A5">
        <f>IFERROR(INDEX(tblLeningen[LoanID],SMALL(IF(tblLeningen[OnderpandType]="BTC",ROW(tblLeningen[OnderpandType])-ROW(tblLeningen[[#Headers],[OnderpandType]])),2)),"")</f>
        <v/>
      </c>
      <c r="B5">
        <f>IF(A5="","",XLOOKUP(A5,tblLeningen[LoanID],tblLeningen[Lener],""))</f>
        <v/>
      </c>
      <c r="C5" s="30">
        <f>IF(A5="","",IFERROR(SUMIF(tblBTC[Wallet/Platform],XLOOKUP(A5,tblLeningen[LoanID],tblLeningen[OnderpandRef],""),tblBTC[BTC Aantal]),0))</f>
        <v/>
      </c>
      <c r="D5" s="13">
        <f>IF(A5="","",XLOOKUP(A5,tblLeningen[LoanID],tblLeningen[Openstaand(EUR)],0))</f>
        <v/>
      </c>
      <c r="E5" s="13">
        <f>IF(A5="","",XLOOKUP("BTC",tblKoersen[Symbol],tblKoersen[EUR prijs],0))</f>
        <v/>
      </c>
      <c r="F5" s="13">
        <f>IF(A5="","",C5*E5)</f>
        <v/>
      </c>
      <c r="G5" s="16">
        <f>IF(OR(A5="",F5=0),"",D5/F5)</f>
        <v/>
      </c>
      <c r="H5" s="16">
        <f>IF(A5="","",IF(XLOOKUP(A5,tblLeningen[LoanID],tblLeningen[LiquidatieLTV],"")="",XLOOKUP("DefaultLiquidationLTV_BTC",tblSettings[Parameter],tblSettings[Waarde]),XLOOKUP(A5,tblLeningen[LoanID],tblLeningen[LiquidatieLTV])))</f>
        <v/>
      </c>
      <c r="I5" s="16">
        <f>IF(OR(A5="",G5=""),"",H5-G5)</f>
        <v/>
      </c>
      <c r="J5">
        <f>IF(A5="","",IF(I5&lt;=XLOOKUP("RiskBuffer_BTC",tblSettings[Parameter],tblSettings[Waarde]),"RISK",IF(I5&lt;=XLOOKUP("AlertBuffer_BTC",tblSettings[Parameter],tblSettings[Waarde]),"ALERT","OK")))</f>
        <v/>
      </c>
      <c r="K5" s="13">
        <f>IF(OR(A5="",J5="OK"),"",MAX(0,D5-(XLOOKUP("TargetLTV_BTC",tblSettings[Parameter],tblSettings[Waarde])*F5)))</f>
        <v/>
      </c>
      <c r="L5" s="30">
        <f>IF(OR(A5="",J5="OK"),"",MAX(0,(D5/XLOOKUP("TargetLTV_BTC",tblSettings[Parameter],tblSettings[Waarde])-F5)/E5))</f>
        <v/>
      </c>
    </row>
    <row r="6">
      <c r="A6">
        <f>IFERROR(INDEX(tblLeningen[LoanID],SMALL(IF(tblLeningen[OnderpandType]="BTC",ROW(tblLeningen[OnderpandType])-ROW(tblLeningen[[#Headers],[OnderpandType]])),3)),"")</f>
        <v/>
      </c>
      <c r="B6">
        <f>IF(A6="","",XLOOKUP(A6,tblLeningen[LoanID],tblLeningen[Lener],""))</f>
        <v/>
      </c>
      <c r="C6" s="30">
        <f>IF(A6="","",IFERROR(SUMIF(tblBTC[Wallet/Platform],XLOOKUP(A6,tblLeningen[LoanID],tblLeningen[OnderpandRef],""),tblBTC[BTC Aantal]),0))</f>
        <v/>
      </c>
      <c r="D6" s="13">
        <f>IF(A6="","",XLOOKUP(A6,tblLeningen[LoanID],tblLeningen[Openstaand(EUR)],0))</f>
        <v/>
      </c>
      <c r="E6" s="13">
        <f>IF(A6="","",XLOOKUP("BTC",tblKoersen[Symbol],tblKoersen[EUR prijs],0))</f>
        <v/>
      </c>
      <c r="F6" s="13">
        <f>IF(A6="","",C6*E6)</f>
        <v/>
      </c>
      <c r="G6" s="16">
        <f>IF(OR(A6="",F6=0),"",D6/F6)</f>
        <v/>
      </c>
      <c r="H6" s="16">
        <f>IF(A6="","",IF(XLOOKUP(A6,tblLeningen[LoanID],tblLeningen[LiquidatieLTV],"")="",XLOOKUP("DefaultLiquidationLTV_BTC",tblSettings[Parameter],tblSettings[Waarde]),XLOOKUP(A6,tblLeningen[LoanID],tblLeningen[LiquidatieLTV])))</f>
        <v/>
      </c>
      <c r="I6" s="16">
        <f>IF(OR(A6="",G6=""),"",H6-G6)</f>
        <v/>
      </c>
      <c r="J6">
        <f>IF(A6="","",IF(I6&lt;=XLOOKUP("RiskBuffer_BTC",tblSettings[Parameter],tblSettings[Waarde]),"RISK",IF(I6&lt;=XLOOKUP("AlertBuffer_BTC",tblSettings[Parameter],tblSettings[Waarde]),"ALERT","OK")))</f>
        <v/>
      </c>
      <c r="K6" s="13">
        <f>IF(OR(A6="",J6="OK"),"",MAX(0,D6-(XLOOKUP("TargetLTV_BTC",tblSettings[Parameter],tblSettings[Waarde])*F6)))</f>
        <v/>
      </c>
      <c r="L6" s="30">
        <f>IF(OR(A6="",J6="OK"),"",MAX(0,(D6/XLOOKUP("TargetLTV_BTC",tblSettings[Parameter],tblSettings[Waarde])-F6)/E6))</f>
        <v/>
      </c>
    </row>
    <row r="7">
      <c r="A7">
        <f>IFERROR(INDEX(tblLeningen[LoanID],SMALL(IF(tblLeningen[OnderpandType]="BTC",ROW(tblLeningen[OnderpandType])-ROW(tblLeningen[[#Headers],[OnderpandType]])),4)),"")</f>
        <v/>
      </c>
      <c r="B7">
        <f>IF(A7="","",XLOOKUP(A7,tblLeningen[LoanID],tblLeningen[Lener],""))</f>
        <v/>
      </c>
      <c r="C7" s="30">
        <f>IF(A7="","",IFERROR(SUMIF(tblBTC[Wallet/Platform],XLOOKUP(A7,tblLeningen[LoanID],tblLeningen[OnderpandRef],""),tblBTC[BTC Aantal]),0))</f>
        <v/>
      </c>
      <c r="D7" s="13">
        <f>IF(A7="","",XLOOKUP(A7,tblLeningen[LoanID],tblLeningen[Openstaand(EUR)],0))</f>
        <v/>
      </c>
      <c r="E7" s="13">
        <f>IF(A7="","",XLOOKUP("BTC",tblKoersen[Symbol],tblKoersen[EUR prijs],0))</f>
        <v/>
      </c>
      <c r="F7" s="13">
        <f>IF(A7="","",C7*E7)</f>
        <v/>
      </c>
      <c r="G7" s="16">
        <f>IF(OR(A7="",F7=0),"",D7/F7)</f>
        <v/>
      </c>
      <c r="H7" s="16">
        <f>IF(A7="","",IF(XLOOKUP(A7,tblLeningen[LoanID],tblLeningen[LiquidatieLTV],"")="",XLOOKUP("DefaultLiquidationLTV_BTC",tblSettings[Parameter],tblSettings[Waarde]),XLOOKUP(A7,tblLeningen[LoanID],tblLeningen[LiquidatieLTV])))</f>
        <v/>
      </c>
      <c r="I7" s="16">
        <f>IF(OR(A7="",G7=""),"",H7-G7)</f>
        <v/>
      </c>
      <c r="J7">
        <f>IF(A7="","",IF(I7&lt;=XLOOKUP("RiskBuffer_BTC",tblSettings[Parameter],tblSettings[Waarde]),"RISK",IF(I7&lt;=XLOOKUP("AlertBuffer_BTC",tblSettings[Parameter],tblSettings[Waarde]),"ALERT","OK")))</f>
        <v/>
      </c>
      <c r="K7" s="13">
        <f>IF(OR(A7="",J7="OK"),"",MAX(0,D7-(XLOOKUP("TargetLTV_BTC",tblSettings[Parameter],tblSettings[Waarde])*F7)))</f>
        <v/>
      </c>
      <c r="L7" s="30">
        <f>IF(OR(A7="",J7="OK"),"",MAX(0,(D7/XLOOKUP("TargetLTV_BTC",tblSettings[Parameter],tblSettings[Waarde])-F7)/E7))</f>
        <v/>
      </c>
    </row>
    <row r="8">
      <c r="A8">
        <f>IFERROR(INDEX(tblLeningen[LoanID],SMALL(IF(tblLeningen[OnderpandType]="BTC",ROW(tblLeningen[OnderpandType])-ROW(tblLeningen[[#Headers],[OnderpandType]])),5)),"")</f>
        <v/>
      </c>
      <c r="B8">
        <f>IF(A8="","",XLOOKUP(A8,tblLeningen[LoanID],tblLeningen[Lener],""))</f>
        <v/>
      </c>
      <c r="C8" s="30">
        <f>IF(A8="","",IFERROR(SUMIF(tblBTC[Wallet/Platform],XLOOKUP(A8,tblLeningen[LoanID],tblLeningen[OnderpandRef],""),tblBTC[BTC Aantal]),0))</f>
        <v/>
      </c>
      <c r="D8" s="13">
        <f>IF(A8="","",XLOOKUP(A8,tblLeningen[LoanID],tblLeningen[Openstaand(EUR)],0))</f>
        <v/>
      </c>
      <c r="E8" s="13">
        <f>IF(A8="","",XLOOKUP("BTC",tblKoersen[Symbol],tblKoersen[EUR prijs],0))</f>
        <v/>
      </c>
      <c r="F8" s="13">
        <f>IF(A8="","",C8*E8)</f>
        <v/>
      </c>
      <c r="G8" s="16">
        <f>IF(OR(A8="",F8=0),"",D8/F8)</f>
        <v/>
      </c>
      <c r="H8" s="16">
        <f>IF(A8="","",IF(XLOOKUP(A8,tblLeningen[LoanID],tblLeningen[LiquidatieLTV],"")="",XLOOKUP("DefaultLiquidationLTV_BTC",tblSettings[Parameter],tblSettings[Waarde]),XLOOKUP(A8,tblLeningen[LoanID],tblLeningen[LiquidatieLTV])))</f>
        <v/>
      </c>
      <c r="I8" s="16">
        <f>IF(OR(A8="",G8=""),"",H8-G8)</f>
        <v/>
      </c>
      <c r="J8">
        <f>IF(A8="","",IF(I8&lt;=XLOOKUP("RiskBuffer_BTC",tblSettings[Parameter],tblSettings[Waarde]),"RISK",IF(I8&lt;=XLOOKUP("AlertBuffer_BTC",tblSettings[Parameter],tblSettings[Waarde]),"ALERT","OK")))</f>
        <v/>
      </c>
      <c r="K8" s="13">
        <f>IF(OR(A8="",J8="OK"),"",MAX(0,D8-(XLOOKUP("TargetLTV_BTC",tblSettings[Parameter],tblSettings[Waarde])*F8)))</f>
        <v/>
      </c>
      <c r="L8" s="30">
        <f>IF(OR(A8="",J8="OK"),"",MAX(0,(D8/XLOOKUP("TargetLTV_BTC",tblSettings[Parameter],tblSettings[Waarde])-F8)/E8))</f>
        <v/>
      </c>
    </row>
    <row r="9">
      <c r="A9">
        <f>IFERROR(INDEX(tblLeningen[LoanID],SMALL(IF(tblLeningen[OnderpandType]="BTC",ROW(tblLeningen[OnderpandType])-ROW(tblLeningen[[#Headers],[OnderpandType]])),6)),"")</f>
        <v/>
      </c>
      <c r="B9">
        <f>IF(A9="","",XLOOKUP(A9,tblLeningen[LoanID],tblLeningen[Lener],""))</f>
        <v/>
      </c>
      <c r="C9" s="30">
        <f>IF(A9="","",IFERROR(SUMIF(tblBTC[Wallet/Platform],XLOOKUP(A9,tblLeningen[LoanID],tblLeningen[OnderpandRef],""),tblBTC[BTC Aantal]),0))</f>
        <v/>
      </c>
      <c r="D9" s="13">
        <f>IF(A9="","",XLOOKUP(A9,tblLeningen[LoanID],tblLeningen[Openstaand(EUR)],0))</f>
        <v/>
      </c>
      <c r="E9" s="13">
        <f>IF(A9="","",XLOOKUP("BTC",tblKoersen[Symbol],tblKoersen[EUR prijs],0))</f>
        <v/>
      </c>
      <c r="F9" s="13">
        <f>IF(A9="","",C9*E9)</f>
        <v/>
      </c>
      <c r="G9" s="16">
        <f>IF(OR(A9="",F9=0),"",D9/F9)</f>
        <v/>
      </c>
      <c r="H9" s="16">
        <f>IF(A9="","",IF(XLOOKUP(A9,tblLeningen[LoanID],tblLeningen[LiquidatieLTV],"")="",XLOOKUP("DefaultLiquidationLTV_BTC",tblSettings[Parameter],tblSettings[Waarde]),XLOOKUP(A9,tblLeningen[LoanID],tblLeningen[LiquidatieLTV])))</f>
        <v/>
      </c>
      <c r="I9" s="16">
        <f>IF(OR(A9="",G9=""),"",H9-G9)</f>
        <v/>
      </c>
      <c r="J9">
        <f>IF(A9="","",IF(I9&lt;=XLOOKUP("RiskBuffer_BTC",tblSettings[Parameter],tblSettings[Waarde]),"RISK",IF(I9&lt;=XLOOKUP("AlertBuffer_BTC",tblSettings[Parameter],tblSettings[Waarde]),"ALERT","OK")))</f>
        <v/>
      </c>
      <c r="K9" s="13">
        <f>IF(OR(A9="",J9="OK"),"",MAX(0,D9-(XLOOKUP("TargetLTV_BTC",tblSettings[Parameter],tblSettings[Waarde])*F9)))</f>
        <v/>
      </c>
      <c r="L9" s="30">
        <f>IF(OR(A9="",J9="OK"),"",MAX(0,(D9/XLOOKUP("TargetLTV_BTC",tblSettings[Parameter],tblSettings[Waarde])-F9)/E9))</f>
        <v/>
      </c>
    </row>
    <row r="10">
      <c r="A10">
        <f>IFERROR(INDEX(tblLeningen[LoanID],SMALL(IF(tblLeningen[OnderpandType]="BTC",ROW(tblLeningen[OnderpandType])-ROW(tblLeningen[[#Headers],[OnderpandType]])),7)),"")</f>
        <v/>
      </c>
      <c r="B10">
        <f>IF(A10="","",XLOOKUP(A10,tblLeningen[LoanID],tblLeningen[Lener],""))</f>
        <v/>
      </c>
      <c r="C10" s="30">
        <f>IF(A10="","",IFERROR(SUMIF(tblBTC[Wallet/Platform],XLOOKUP(A10,tblLeningen[LoanID],tblLeningen[OnderpandRef],""),tblBTC[BTC Aantal]),0))</f>
        <v/>
      </c>
      <c r="D10" s="13">
        <f>IF(A10="","",XLOOKUP(A10,tblLeningen[LoanID],tblLeningen[Openstaand(EUR)],0))</f>
        <v/>
      </c>
      <c r="E10" s="13">
        <f>IF(A10="","",XLOOKUP("BTC",tblKoersen[Symbol],tblKoersen[EUR prijs],0))</f>
        <v/>
      </c>
      <c r="F10" s="13">
        <f>IF(A10="","",C10*E10)</f>
        <v/>
      </c>
      <c r="G10" s="16">
        <f>IF(OR(A10="",F10=0),"",D10/F10)</f>
        <v/>
      </c>
      <c r="H10" s="16">
        <f>IF(A10="","",IF(XLOOKUP(A10,tblLeningen[LoanID],tblLeningen[LiquidatieLTV],"")="",XLOOKUP("DefaultLiquidationLTV_BTC",tblSettings[Parameter],tblSettings[Waarde]),XLOOKUP(A10,tblLeningen[LoanID],tblLeningen[LiquidatieLTV])))</f>
        <v/>
      </c>
      <c r="I10" s="16">
        <f>IF(OR(A10="",G10=""),"",H10-G10)</f>
        <v/>
      </c>
      <c r="J10">
        <f>IF(A10="","",IF(I10&lt;=XLOOKUP("RiskBuffer_BTC",tblSettings[Parameter],tblSettings[Waarde]),"RISK",IF(I10&lt;=XLOOKUP("AlertBuffer_BTC",tblSettings[Parameter],tblSettings[Waarde]),"ALERT","OK")))</f>
        <v/>
      </c>
      <c r="K10" s="13">
        <f>IF(OR(A10="",J10="OK"),"",MAX(0,D10-(XLOOKUP("TargetLTV_BTC",tblSettings[Parameter],tblSettings[Waarde])*F10)))</f>
        <v/>
      </c>
      <c r="L10" s="30">
        <f>IF(OR(A10="",J10="OK"),"",MAX(0,(D10/XLOOKUP("TargetLTV_BTC",tblSettings[Parameter],tblSettings[Waarde])-F10)/E10))</f>
        <v/>
      </c>
    </row>
    <row r="11">
      <c r="A11">
        <f>IFERROR(INDEX(tblLeningen[LoanID],SMALL(IF(tblLeningen[OnderpandType]="BTC",ROW(tblLeningen[OnderpandType])-ROW(tblLeningen[[#Headers],[OnderpandType]])),8)),"")</f>
        <v/>
      </c>
      <c r="B11">
        <f>IF(A11="","",XLOOKUP(A11,tblLeningen[LoanID],tblLeningen[Lener],""))</f>
        <v/>
      </c>
      <c r="C11" s="30">
        <f>IF(A11="","",IFERROR(SUMIF(tblBTC[Wallet/Platform],XLOOKUP(A11,tblLeningen[LoanID],tblLeningen[OnderpandRef],""),tblBTC[BTC Aantal]),0))</f>
        <v/>
      </c>
      <c r="D11" s="13">
        <f>IF(A11="","",XLOOKUP(A11,tblLeningen[LoanID],tblLeningen[Openstaand(EUR)],0))</f>
        <v/>
      </c>
      <c r="E11" s="13">
        <f>IF(A11="","",XLOOKUP("BTC",tblKoersen[Symbol],tblKoersen[EUR prijs],0))</f>
        <v/>
      </c>
      <c r="F11" s="13">
        <f>IF(A11="","",C11*E11)</f>
        <v/>
      </c>
      <c r="G11" s="16">
        <f>IF(OR(A11="",F11=0),"",D11/F11)</f>
        <v/>
      </c>
      <c r="H11" s="16">
        <f>IF(A11="","",IF(XLOOKUP(A11,tblLeningen[LoanID],tblLeningen[LiquidatieLTV],"")="",XLOOKUP("DefaultLiquidationLTV_BTC",tblSettings[Parameter],tblSettings[Waarde]),XLOOKUP(A11,tblLeningen[LoanID],tblLeningen[LiquidatieLTV])))</f>
        <v/>
      </c>
      <c r="I11" s="16">
        <f>IF(OR(A11="",G11=""),"",H11-G11)</f>
        <v/>
      </c>
      <c r="J11">
        <f>IF(A11="","",IF(I11&lt;=XLOOKUP("RiskBuffer_BTC",tblSettings[Parameter],tblSettings[Waarde]),"RISK",IF(I11&lt;=XLOOKUP("AlertBuffer_BTC",tblSettings[Parameter],tblSettings[Waarde]),"ALERT","OK")))</f>
        <v/>
      </c>
      <c r="K11" s="13">
        <f>IF(OR(A11="",J11="OK"),"",MAX(0,D11-(XLOOKUP("TargetLTV_BTC",tblSettings[Parameter],tblSettings[Waarde])*F11)))</f>
        <v/>
      </c>
      <c r="L11" s="30">
        <f>IF(OR(A11="",J11="OK"),"",MAX(0,(D11/XLOOKUP("TargetLTV_BTC",tblSettings[Parameter],tblSettings[Waarde])-F11)/E11))</f>
        <v/>
      </c>
    </row>
    <row r="12">
      <c r="A12">
        <f>IFERROR(INDEX(tblLeningen[LoanID],SMALL(IF(tblLeningen[OnderpandType]="BTC",ROW(tblLeningen[OnderpandType])-ROW(tblLeningen[[#Headers],[OnderpandType]])),9)),"")</f>
        <v/>
      </c>
      <c r="B12">
        <f>IF(A12="","",XLOOKUP(A12,tblLeningen[LoanID],tblLeningen[Lener],""))</f>
        <v/>
      </c>
      <c r="C12" s="30">
        <f>IF(A12="","",IFERROR(SUMIF(tblBTC[Wallet/Platform],XLOOKUP(A12,tblLeningen[LoanID],tblLeningen[OnderpandRef],""),tblBTC[BTC Aantal]),0))</f>
        <v/>
      </c>
      <c r="D12" s="13">
        <f>IF(A12="","",XLOOKUP(A12,tblLeningen[LoanID],tblLeningen[Openstaand(EUR)],0))</f>
        <v/>
      </c>
      <c r="E12" s="13">
        <f>IF(A12="","",XLOOKUP("BTC",tblKoersen[Symbol],tblKoersen[EUR prijs],0))</f>
        <v/>
      </c>
      <c r="F12" s="13">
        <f>IF(A12="","",C12*E12)</f>
        <v/>
      </c>
      <c r="G12" s="16">
        <f>IF(OR(A12="",F12=0),"",D12/F12)</f>
        <v/>
      </c>
      <c r="H12" s="16">
        <f>IF(A12="","",IF(XLOOKUP(A12,tblLeningen[LoanID],tblLeningen[LiquidatieLTV],"")="",XLOOKUP("DefaultLiquidationLTV_BTC",tblSettings[Parameter],tblSettings[Waarde]),XLOOKUP(A12,tblLeningen[LoanID],tblLeningen[LiquidatieLTV])))</f>
        <v/>
      </c>
      <c r="I12" s="16">
        <f>IF(OR(A12="",G12=""),"",H12-G12)</f>
        <v/>
      </c>
      <c r="J12">
        <f>IF(A12="","",IF(I12&lt;=XLOOKUP("RiskBuffer_BTC",tblSettings[Parameter],tblSettings[Waarde]),"RISK",IF(I12&lt;=XLOOKUP("AlertBuffer_BTC",tblSettings[Parameter],tblSettings[Waarde]),"ALERT","OK")))</f>
        <v/>
      </c>
      <c r="K12" s="13">
        <f>IF(OR(A12="",J12="OK"),"",MAX(0,D12-(XLOOKUP("TargetLTV_BTC",tblSettings[Parameter],tblSettings[Waarde])*F12)))</f>
        <v/>
      </c>
      <c r="L12" s="30">
        <f>IF(OR(A12="",J12="OK"),"",MAX(0,(D12/XLOOKUP("TargetLTV_BTC",tblSettings[Parameter],tblSettings[Waarde])-F12)/E12))</f>
        <v/>
      </c>
    </row>
    <row r="13">
      <c r="A13">
        <f>IFERROR(INDEX(tblLeningen[LoanID],SMALL(IF(tblLeningen[OnderpandType]="BTC",ROW(tblLeningen[OnderpandType])-ROW(tblLeningen[[#Headers],[OnderpandType]])),10)),"")</f>
        <v/>
      </c>
      <c r="B13">
        <f>IF(A13="","",XLOOKUP(A13,tblLeningen[LoanID],tblLeningen[Lener],""))</f>
        <v/>
      </c>
      <c r="C13" s="30">
        <f>IF(A13="","",IFERROR(SUMIF(tblBTC[Wallet/Platform],XLOOKUP(A13,tblLeningen[LoanID],tblLeningen[OnderpandRef],""),tblBTC[BTC Aantal]),0))</f>
        <v/>
      </c>
      <c r="D13" s="13">
        <f>IF(A13="","",XLOOKUP(A13,tblLeningen[LoanID],tblLeningen[Openstaand(EUR)],0))</f>
        <v/>
      </c>
      <c r="E13" s="13">
        <f>IF(A13="","",XLOOKUP("BTC",tblKoersen[Symbol],tblKoersen[EUR prijs],0))</f>
        <v/>
      </c>
      <c r="F13" s="13">
        <f>IF(A13="","",C13*E13)</f>
        <v/>
      </c>
      <c r="G13" s="16">
        <f>IF(OR(A13="",F13=0),"",D13/F13)</f>
        <v/>
      </c>
      <c r="H13" s="16">
        <f>IF(A13="","",IF(XLOOKUP(A13,tblLeningen[LoanID],tblLeningen[LiquidatieLTV],"")="",XLOOKUP("DefaultLiquidationLTV_BTC",tblSettings[Parameter],tblSettings[Waarde]),XLOOKUP(A13,tblLeningen[LoanID],tblLeningen[LiquidatieLTV])))</f>
        <v/>
      </c>
      <c r="I13" s="16">
        <f>IF(OR(A13="",G13=""),"",H13-G13)</f>
        <v/>
      </c>
      <c r="J13">
        <f>IF(A13="","",IF(I13&lt;=XLOOKUP("RiskBuffer_BTC",tblSettings[Parameter],tblSettings[Waarde]),"RISK",IF(I13&lt;=XLOOKUP("AlertBuffer_BTC",tblSettings[Parameter],tblSettings[Waarde]),"ALERT","OK")))</f>
        <v/>
      </c>
      <c r="K13" s="13">
        <f>IF(OR(A13="",J13="OK"),"",MAX(0,D13-(XLOOKUP("TargetLTV_BTC",tblSettings[Parameter],tblSettings[Waarde])*F13)))</f>
        <v/>
      </c>
      <c r="L13" s="30">
        <f>IF(OR(A13="",J13="OK"),"",MAX(0,(D13/XLOOKUP("TargetLTV_BTC",tblSettings[Parameter],tblSettings[Waarde])-F13)/E13))</f>
        <v/>
      </c>
    </row>
    <row r="16">
      <c r="A16" s="3" t="inlineStr">
        <is>
          <t>Stress Test Scenarios</t>
        </is>
      </c>
    </row>
    <row r="17">
      <c r="A17" s="23" t="inlineStr">
        <is>
          <t>Scenario</t>
        </is>
      </c>
      <c r="B17" s="23" t="inlineStr">
        <is>
          <t>BTC Drop</t>
        </is>
      </c>
      <c r="C17" s="23" t="inlineStr">
        <is>
          <t>New BTC Price</t>
        </is>
      </c>
      <c r="D17" s="23" t="inlineStr">
        <is>
          <t>LoanID</t>
        </is>
      </c>
      <c r="E17" s="23" t="inlineStr">
        <is>
          <t>New LTV</t>
        </is>
      </c>
      <c r="F17" s="23" t="inlineStr">
        <is>
          <t>New Status</t>
        </is>
      </c>
    </row>
    <row r="18">
      <c r="A18" t="inlineStr">
        <is>
          <t>Scenario 1</t>
        </is>
      </c>
      <c r="B18" s="11">
        <f>XLOOKUP("StressBTCDown1",tblSettings[Parameter],tblSettings[Waarde])</f>
        <v/>
      </c>
      <c r="C18" s="13">
        <f>XLOOKUP("BTC",tblKoersen[Symbol],tblKoersen[EUR prijs])*(1+B18)</f>
        <v/>
      </c>
      <c r="D18">
        <f>A4</f>
        <v/>
      </c>
      <c r="E18" s="16">
        <f>IF(D18="","",D4/(C4*$C$18))</f>
        <v/>
      </c>
      <c r="F18">
        <f>IF(D18="","",IF(E18&gt;=H4,"LIQUIDATION",IF((H4-E18)&lt;=XLOOKUP("RiskBuffer_BTC",tblSettings[Parameter],tblSettings[Waarde]),"RISK",IF((H4-E18)&lt;=XLOOKUP("AlertBuffer_BTC",tblSettings[Parameter],tblSettings[Waarde]),"ALERT","OK"))))</f>
        <v/>
      </c>
    </row>
    <row r="19">
      <c r="A19" t="inlineStr">
        <is>
          <t>Scenario 2</t>
        </is>
      </c>
      <c r="B19" s="11">
        <f>XLOOKUP("StressBTCDown2",tblSettings[Parameter],tblSettings[Waarde])</f>
        <v/>
      </c>
      <c r="C19" s="13">
        <f>XLOOKUP("BTC",tblKoersen[Symbol],tblKoersen[EUR prijs])*(1+B19)</f>
        <v/>
      </c>
      <c r="D19">
        <f>A4</f>
        <v/>
      </c>
      <c r="E19" s="16">
        <f>IF(D19="","",D4/(C4*$C$19))</f>
        <v/>
      </c>
      <c r="F19">
        <f>IF(D19="","",IF(E19&gt;=H4,"LIQUIDATION",IF((H4-E19)&lt;=XLOOKUP("RiskBuffer_BTC",tblSettings[Parameter],tblSettings[Waarde]),"RISK",IF((H4-E19)&lt;=XLOOKUP("AlertBuffer_BTC",tblSettings[Parameter],tblSettings[Waarde]),"ALERT","OK"))))</f>
        <v/>
      </c>
    </row>
  </sheetData>
  <mergeCells count="1">
    <mergeCell ref="A16:F16"/>
  </mergeCells>
  <conditionalFormatting sqref="J4:J13">
    <cfRule type="cellIs" priority="1" operator="equal" dxfId="0">
      <formula>"OK"</formula>
    </cfRule>
    <cfRule type="cellIs" priority="2" operator="equal" dxfId="1">
      <formula>"ALERT"</formula>
    </cfRule>
    <cfRule type="cellIs" priority="3" operator="equal" dxfId="2">
      <formula>"RISK"</formula>
    </cfRule>
    <cfRule type="cellIs" priority="4" operator="equal" dxfId="2">
      <formula>"CRITICAL"</formula>
    </cfRule>
  </conditionalFormatting>
  <conditionalFormatting sqref="F18:F19">
    <cfRule type="cellIs" priority="5" operator="equal" dxfId="0">
      <formula>"OK"</formula>
    </cfRule>
    <cfRule type="cellIs" priority="6" operator="equal" dxfId="1">
      <formula>"ALERT"</formula>
    </cfRule>
    <cfRule type="cellIs" priority="7" operator="equal" dxfId="2">
      <formula>"RISK"</formula>
    </cfRule>
    <cfRule type="cellIs" priority="8" operator="equal" dxfId="2">
      <formula>"CRITICAL"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5" customWidth="1" min="4" max="4"/>
    <col width="30" customWidth="1" min="5" max="5"/>
    <col width="3" customWidth="1" min="6" max="6"/>
    <col width="18" customWidth="1" min="7" max="7"/>
    <col width="15" customWidth="1" min="8" max="8"/>
  </cols>
  <sheetData>
    <row r="1">
      <c r="A1" s="22" t="inlineStr">
        <is>
          <t>Cash &amp; Overig - Liquide Middelen</t>
        </is>
      </c>
    </row>
    <row r="2">
      <c r="G2" s="7" t="inlineStr">
        <is>
          <t>Totaal Cash:</t>
        </is>
      </c>
      <c r="H2" s="33">
        <f>SUM(tblCash[Bedrag(EUR)])</f>
        <v/>
      </c>
    </row>
    <row r="3">
      <c r="A3" s="23" t="inlineStr">
        <is>
          <t>Datum</t>
        </is>
      </c>
      <c r="B3" s="23" t="inlineStr">
        <is>
          <t>Rekening/Platform</t>
        </is>
      </c>
      <c r="C3" s="23" t="inlineStr">
        <is>
          <t>Bedrag(EUR)</t>
        </is>
      </c>
      <c r="D3" s="23" t="inlineStr">
        <is>
          <t>Type</t>
        </is>
      </c>
      <c r="E3" s="23" t="inlineStr">
        <is>
          <t>Opmerking</t>
        </is>
      </c>
    </row>
    <row r="4">
      <c r="A4" s="24" t="inlineStr">
        <is>
          <t>2024-03-01</t>
        </is>
      </c>
      <c r="B4" t="inlineStr">
        <is>
          <t>ING Betaalrekening</t>
        </is>
      </c>
      <c r="C4" s="13" t="n">
        <v>15000</v>
      </c>
      <c r="D4" t="inlineStr">
        <is>
          <t>Betaalrekening</t>
        </is>
      </c>
      <c r="E4" t="inlineStr"/>
      <c r="G4" t="inlineStr">
        <is>
          <t>Maandlasten (inst.):</t>
        </is>
      </c>
      <c r="H4" s="13">
        <f>XLOOKUP("MonthlyExpenses",tblSettings[Parameter],tblSettings[Waarde])</f>
        <v/>
      </c>
    </row>
    <row r="5">
      <c r="A5" s="24" t="inlineStr">
        <is>
          <t>2024-03-01</t>
        </is>
      </c>
      <c r="B5" t="inlineStr">
        <is>
          <t>ING Spaarrekening</t>
        </is>
      </c>
      <c r="C5" s="13" t="n">
        <v>35000</v>
      </c>
      <c r="D5" t="inlineStr">
        <is>
          <t>Spaarrekening</t>
        </is>
      </c>
      <c r="E5" t="inlineStr">
        <is>
          <t>Noodfonds</t>
        </is>
      </c>
      <c r="G5" t="inlineStr">
        <is>
          <t>Buffer (maanden):</t>
        </is>
      </c>
      <c r="H5" s="34">
        <f>IF(H4=0,0,H2/H4)</f>
        <v/>
      </c>
    </row>
    <row r="6">
      <c r="A6" s="24" t="inlineStr">
        <is>
          <t>2024-03-01</t>
        </is>
      </c>
      <c r="B6" t="inlineStr">
        <is>
          <t>DEGIRO</t>
        </is>
      </c>
      <c r="C6" s="13" t="n">
        <v>8000</v>
      </c>
      <c r="D6" t="inlineStr">
        <is>
          <t>Belegging</t>
        </is>
      </c>
      <c r="E6" t="inlineStr">
        <is>
          <t>ETF portfolio</t>
        </is>
      </c>
      <c r="G6" t="inlineStr">
        <is>
          <t>Target (maanden):</t>
        </is>
      </c>
      <c r="H6" s="35">
        <f>XLOOKUP("CashBufferMonthsTarget",tblSettings[Parameter],tblSettings[Waarde])</f>
        <v/>
      </c>
    </row>
    <row r="7">
      <c r="A7" s="24" t="n"/>
      <c r="C7" s="13" t="n"/>
    </row>
    <row r="8">
      <c r="A8" s="24" t="n"/>
      <c r="C8" s="13" t="n"/>
    </row>
    <row r="9">
      <c r="A9" s="24" t="n"/>
      <c r="C9" s="13" t="n"/>
    </row>
    <row r="10">
      <c r="A10" s="24" t="n"/>
      <c r="C10" s="13" t="n"/>
    </row>
    <row r="11">
      <c r="A11" s="24" t="n"/>
      <c r="C11" s="13" t="n"/>
    </row>
    <row r="12">
      <c r="A12" s="24" t="n"/>
      <c r="C12" s="13" t="n"/>
    </row>
    <row r="13">
      <c r="A13" s="24" t="n"/>
      <c r="C13" s="13" t="n"/>
    </row>
    <row r="14">
      <c r="A14" s="24" t="n"/>
      <c r="C14" s="13" t="n"/>
    </row>
    <row r="15">
      <c r="A15" s="24" t="n"/>
      <c r="C15" s="13" t="n"/>
    </row>
    <row r="16">
      <c r="A16" s="24" t="n"/>
      <c r="C16" s="13" t="n"/>
    </row>
    <row r="17">
      <c r="A17" s="24" t="n"/>
      <c r="C17" s="13" t="n"/>
    </row>
    <row r="18">
      <c r="A18" s="24" t="n"/>
      <c r="C18" s="13" t="n"/>
    </row>
    <row r="19">
      <c r="A19" s="24" t="n"/>
      <c r="C19" s="13" t="n"/>
    </row>
    <row r="20">
      <c r="A20" s="24" t="n"/>
      <c r="C20" s="13" t="n"/>
    </row>
    <row r="21">
      <c r="A21" s="24" t="n"/>
      <c r="C21" s="13" t="n"/>
    </row>
    <row r="22">
      <c r="A22" s="24" t="n"/>
      <c r="C22" s="13" t="n"/>
    </row>
    <row r="23">
      <c r="A23" s="24" t="n"/>
      <c r="C23" s="13" t="n"/>
    </row>
    <row r="24">
      <c r="A24" s="24" t="n"/>
      <c r="C24" s="13" t="n"/>
    </row>
    <row r="25">
      <c r="A25" s="24" t="n"/>
      <c r="C25" s="13" t="n"/>
    </row>
    <row r="26">
      <c r="A26" s="24" t="n"/>
      <c r="C26" s="13" t="n"/>
    </row>
    <row r="27">
      <c r="A27" s="24" t="n"/>
      <c r="C27" s="13" t="n"/>
    </row>
    <row r="28">
      <c r="A28" s="24" t="n"/>
      <c r="C28" s="13" t="n"/>
    </row>
    <row r="29">
      <c r="A29" s="24" t="n"/>
      <c r="C29" s="13" t="n"/>
    </row>
    <row r="30">
      <c r="A30" s="24" t="n"/>
      <c r="C30" s="13" t="n"/>
    </row>
    <row r="31">
      <c r="A31" s="24" t="n"/>
      <c r="C31" s="13" t="n"/>
    </row>
    <row r="32">
      <c r="A32" s="24" t="n"/>
      <c r="C32" s="13" t="n"/>
    </row>
    <row r="33">
      <c r="A33" s="24" t="n"/>
      <c r="C33" s="13" t="n"/>
    </row>
    <row r="34">
      <c r="A34" s="24" t="n"/>
      <c r="C34" s="13" t="n"/>
    </row>
    <row r="35">
      <c r="A35" s="24" t="n"/>
      <c r="C35" s="13" t="n"/>
    </row>
    <row r="36">
      <c r="A36" s="24" t="n"/>
      <c r="C36" s="13" t="n"/>
    </row>
    <row r="37">
      <c r="A37" s="24" t="n"/>
      <c r="C37" s="13" t="n"/>
    </row>
    <row r="38">
      <c r="A38" s="24" t="n"/>
      <c r="C38" s="13" t="n"/>
    </row>
    <row r="39">
      <c r="A39" s="24" t="n"/>
      <c r="C39" s="13" t="n"/>
    </row>
    <row r="40">
      <c r="A40" s="24" t="n"/>
      <c r="C40" s="13" t="n"/>
    </row>
    <row r="41">
      <c r="A41" s="24" t="n"/>
      <c r="C41" s="13" t="n"/>
    </row>
    <row r="42">
      <c r="A42" s="24" t="n"/>
      <c r="C42" s="13" t="n"/>
    </row>
    <row r="43">
      <c r="A43" s="24" t="n"/>
      <c r="C43" s="13" t="n"/>
    </row>
    <row r="44">
      <c r="A44" s="24" t="n"/>
      <c r="C44" s="13" t="n"/>
    </row>
    <row r="45">
      <c r="A45" s="24" t="n"/>
      <c r="C45" s="13" t="n"/>
    </row>
    <row r="46">
      <c r="A46" s="24" t="n"/>
      <c r="C46" s="13" t="n"/>
    </row>
    <row r="47">
      <c r="A47" s="24" t="n"/>
      <c r="C47" s="13" t="n"/>
    </row>
    <row r="48">
      <c r="A48" s="24" t="n"/>
      <c r="C48" s="13" t="n"/>
    </row>
    <row r="49">
      <c r="A49" s="24" t="n"/>
      <c r="C49" s="13" t="n"/>
    </row>
  </sheetData>
  <dataValidations count="1">
    <dataValidation sqref="D4:D50" showDropDown="0" showInputMessage="0" showErrorMessage="1" allowBlank="1" errorTitle="Ongeldige invoer" error="Kies een waarde uit de lijst: Betaalrekening, Spaarrekening, Belegging, Crypto Exchange, Overig" type="list">
      <formula1>"Betaalrekening,Spaarrekening,Belegging,Crypto Exchange,Overig"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4" customWidth="1" min="4" max="4"/>
    <col width="12" customWidth="1" min="5" max="5"/>
    <col width="12" customWidth="1" min="6" max="6"/>
    <col width="25" customWidth="1" min="7" max="7"/>
    <col width="3" customWidth="1" min="8" max="8"/>
    <col width="18" customWidth="1" min="9" max="9"/>
    <col width="14" customWidth="1" min="10" max="10"/>
  </cols>
  <sheetData>
    <row r="1">
      <c r="A1" s="22" t="inlineStr">
        <is>
          <t>Inkomsten - Overzicht</t>
        </is>
      </c>
    </row>
    <row r="2">
      <c r="I2" s="7" t="inlineStr">
        <is>
          <t>Totaal Bruto/maand:</t>
        </is>
      </c>
      <c r="J2" s="33">
        <f>SUM(tblInkomsten[Bruto/maand])</f>
        <v/>
      </c>
    </row>
    <row r="3">
      <c r="A3" s="23" t="inlineStr">
        <is>
          <t>Bron</t>
        </is>
      </c>
      <c r="B3" s="23" t="inlineStr">
        <is>
          <t>Omschrijving</t>
        </is>
      </c>
      <c r="C3" s="23" t="inlineStr">
        <is>
          <t>Bruto/maand</t>
        </is>
      </c>
      <c r="D3" s="23" t="inlineStr">
        <is>
          <t>Netto/maand</t>
        </is>
      </c>
      <c r="E3" s="23" t="inlineStr">
        <is>
          <t>Type</t>
        </is>
      </c>
      <c r="F3" s="23" t="inlineStr">
        <is>
          <t>Frequentie</t>
        </is>
      </c>
      <c r="G3" s="23" t="inlineStr">
        <is>
          <t>Opmerking</t>
        </is>
      </c>
      <c r="I3" s="7" t="inlineStr">
        <is>
          <t>Totaal Netto/maand:</t>
        </is>
      </c>
      <c r="J3" s="36">
        <f>SUM(tblInkomsten[Netto/maand])</f>
        <v/>
      </c>
    </row>
    <row r="4">
      <c r="A4" t="inlineStr">
        <is>
          <t>Salaris</t>
        </is>
      </c>
      <c r="B4" t="inlineStr">
        <is>
          <t>Werkgever</t>
        </is>
      </c>
      <c r="C4" s="13" t="n">
        <v>5500</v>
      </c>
      <c r="D4" s="13" t="n">
        <v>3800</v>
      </c>
      <c r="E4" t="inlineStr">
        <is>
          <t>Vast</t>
        </is>
      </c>
      <c r="F4" t="inlineStr">
        <is>
          <t>Maandelijks</t>
        </is>
      </c>
      <c r="G4" t="inlineStr"/>
    </row>
    <row r="5">
      <c r="A5" t="inlineStr">
        <is>
          <t>Huurinkomsten</t>
        </is>
      </c>
      <c r="B5" t="inlineStr">
        <is>
          <t>Appartement Utrecht</t>
        </is>
      </c>
      <c r="C5" s="13" t="n">
        <v>1400</v>
      </c>
      <c r="D5" s="13" t="n">
        <v>1200</v>
      </c>
      <c r="E5" t="inlineStr">
        <is>
          <t>Vastgoed</t>
        </is>
      </c>
      <c r="F5" t="inlineStr">
        <is>
          <t>Maandelijks</t>
        </is>
      </c>
      <c r="G5" t="inlineStr">
        <is>
          <t>Na kosten</t>
        </is>
      </c>
      <c r="I5" t="inlineStr">
        <is>
          <t>Jaarlijks Netto:</t>
        </is>
      </c>
      <c r="J5" s="5">
        <f>J3*12</f>
        <v/>
      </c>
    </row>
    <row r="6">
      <c r="A6" t="inlineStr">
        <is>
          <t>Dividend</t>
        </is>
      </c>
      <c r="B6" t="inlineStr">
        <is>
          <t>ETF portfolio</t>
        </is>
      </c>
      <c r="C6" s="13" t="n">
        <v>50</v>
      </c>
      <c r="D6" s="13" t="n">
        <v>50</v>
      </c>
      <c r="E6" t="inlineStr">
        <is>
          <t>Variabel</t>
        </is>
      </c>
      <c r="F6" t="inlineStr">
        <is>
          <t>Kwartaal</t>
        </is>
      </c>
      <c r="G6" t="inlineStr">
        <is>
          <t>Gemiddeld per maand</t>
        </is>
      </c>
    </row>
    <row r="7">
      <c r="C7" s="13" t="n"/>
      <c r="D7" s="13" t="n"/>
    </row>
    <row r="8">
      <c r="C8" s="13" t="n"/>
      <c r="D8" s="13" t="n"/>
    </row>
    <row r="9">
      <c r="C9" s="13" t="n"/>
      <c r="D9" s="13" t="n"/>
    </row>
    <row r="10">
      <c r="C10" s="13" t="n"/>
      <c r="D10" s="13" t="n"/>
    </row>
    <row r="11">
      <c r="C11" s="13" t="n"/>
      <c r="D11" s="13" t="n"/>
    </row>
    <row r="12">
      <c r="C12" s="13" t="n"/>
      <c r="D12" s="13" t="n"/>
    </row>
    <row r="13">
      <c r="C13" s="13" t="n"/>
      <c r="D13" s="13" t="n"/>
    </row>
    <row r="14">
      <c r="C14" s="13" t="n"/>
      <c r="D14" s="13" t="n"/>
    </row>
    <row r="15">
      <c r="C15" s="13" t="n"/>
      <c r="D15" s="13" t="n"/>
    </row>
    <row r="16">
      <c r="C16" s="13" t="n"/>
      <c r="D16" s="13" t="n"/>
    </row>
    <row r="17">
      <c r="C17" s="13" t="n"/>
      <c r="D17" s="13" t="n"/>
    </row>
    <row r="18">
      <c r="C18" s="13" t="n"/>
      <c r="D18" s="13" t="n"/>
    </row>
    <row r="19">
      <c r="C19" s="13" t="n"/>
      <c r="D19" s="13" t="n"/>
    </row>
    <row r="20">
      <c r="C20" s="13" t="n"/>
      <c r="D20" s="13" t="n"/>
    </row>
    <row r="21">
      <c r="C21" s="13" t="n"/>
      <c r="D21" s="13" t="n"/>
    </row>
    <row r="22">
      <c r="C22" s="13" t="n"/>
      <c r="D22" s="13" t="n"/>
    </row>
    <row r="23">
      <c r="C23" s="13" t="n"/>
      <c r="D23" s="13" t="n"/>
    </row>
    <row r="24">
      <c r="C24" s="13" t="n"/>
      <c r="D24" s="13" t="n"/>
    </row>
    <row r="25">
      <c r="C25" s="13" t="n"/>
      <c r="D25" s="13" t="n"/>
    </row>
    <row r="26">
      <c r="C26" s="13" t="n"/>
      <c r="D26" s="13" t="n"/>
    </row>
    <row r="27">
      <c r="C27" s="13" t="n"/>
      <c r="D27" s="13" t="n"/>
    </row>
    <row r="28">
      <c r="C28" s="13" t="n"/>
      <c r="D28" s="13" t="n"/>
    </row>
    <row r="29">
      <c r="C29" s="13" t="n"/>
      <c r="D29" s="13" t="n"/>
    </row>
    <row r="30">
      <c r="C30" s="13" t="n"/>
      <c r="D30" s="13" t="n"/>
    </row>
    <row r="31">
      <c r="C31" s="13" t="n"/>
      <c r="D31" s="13" t="n"/>
    </row>
    <row r="32">
      <c r="C32" s="13" t="n"/>
      <c r="D32" s="13" t="n"/>
    </row>
    <row r="33">
      <c r="C33" s="13" t="n"/>
      <c r="D33" s="13" t="n"/>
    </row>
    <row r="34">
      <c r="C34" s="13" t="n"/>
      <c r="D34" s="13" t="n"/>
    </row>
    <row r="35">
      <c r="C35" s="13" t="n"/>
      <c r="D35" s="13" t="n"/>
    </row>
    <row r="36">
      <c r="C36" s="13" t="n"/>
      <c r="D36" s="13" t="n"/>
    </row>
    <row r="37">
      <c r="C37" s="13" t="n"/>
      <c r="D37" s="13" t="n"/>
    </row>
    <row r="38">
      <c r="C38" s="13" t="n"/>
      <c r="D38" s="13" t="n"/>
    </row>
    <row r="39">
      <c r="C39" s="13" t="n"/>
      <c r="D39" s="13" t="n"/>
    </row>
    <row r="40">
      <c r="C40" s="13" t="n"/>
      <c r="D40" s="13" t="n"/>
    </row>
    <row r="41">
      <c r="C41" s="13" t="n"/>
      <c r="D41" s="13" t="n"/>
    </row>
    <row r="42">
      <c r="C42" s="13" t="n"/>
      <c r="D42" s="13" t="n"/>
    </row>
    <row r="43">
      <c r="C43" s="13" t="n"/>
      <c r="D43" s="13" t="n"/>
    </row>
    <row r="44">
      <c r="C44" s="13" t="n"/>
      <c r="D44" s="13" t="n"/>
    </row>
    <row r="45">
      <c r="C45" s="13" t="n"/>
      <c r="D45" s="13" t="n"/>
    </row>
    <row r="46">
      <c r="C46" s="13" t="n"/>
      <c r="D46" s="13" t="n"/>
    </row>
    <row r="47">
      <c r="C47" s="13" t="n"/>
      <c r="D47" s="13" t="n"/>
    </row>
    <row r="48">
      <c r="C48" s="13" t="n"/>
      <c r="D48" s="13" t="n"/>
    </row>
    <row r="49">
      <c r="C49" s="13" t="n"/>
      <c r="D49" s="13" t="n"/>
    </row>
  </sheetData>
  <dataValidations count="2">
    <dataValidation sqref="E4:E50" showDropDown="0" showInputMessage="0" showErrorMessage="1" allowBlank="1" errorTitle="Ongeldige invoer" error="Kies een waarde uit de lijst: Vast, Variabel, Vastgoed, Belegging, Overig" type="list">
      <formula1>"Vast,Variabel,Vastgoed,Belegging,Overig"</formula1>
    </dataValidation>
    <dataValidation sqref="F4:F50" showDropDown="0" showInputMessage="0" showErrorMessage="1" allowBlank="1" errorTitle="Ongeldige invoer" error="Kies een waarde uit de lijst: Maandelijks, Kwartaal, Jaarlijks, Eenmalig" type="list">
      <formula1>"Maandelijks,Kwartaal,Jaarlijks,Eenmalig"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4" customWidth="1" min="3" max="3"/>
    <col width="12" customWidth="1" min="4" max="4"/>
    <col width="14" customWidth="1" min="5" max="5"/>
    <col width="25" customWidth="1" min="6" max="6"/>
    <col width="3" customWidth="1" min="7" max="7"/>
    <col width="18" customWidth="1" min="8" max="8"/>
    <col width="14" customWidth="1" min="9" max="9"/>
  </cols>
  <sheetData>
    <row r="1">
      <c r="A1" s="22" t="inlineStr">
        <is>
          <t>Maandlasten - Vaste Uitgaven</t>
        </is>
      </c>
    </row>
    <row r="2">
      <c r="H2" s="7" t="inlineStr">
        <is>
          <t>Totaal/maand:</t>
        </is>
      </c>
      <c r="I2" s="37">
        <f>SUM(tblMaandlasten[Bedrag(EUR)])</f>
        <v/>
      </c>
    </row>
    <row r="3">
      <c r="A3" s="23" t="inlineStr">
        <is>
          <t>Categorie</t>
        </is>
      </c>
      <c r="B3" s="23" t="inlineStr">
        <is>
          <t>Omschrijving</t>
        </is>
      </c>
      <c r="C3" s="23" t="inlineStr">
        <is>
          <t>Bedrag(EUR)</t>
        </is>
      </c>
      <c r="D3" s="23" t="inlineStr">
        <is>
          <t>Frequentie</t>
        </is>
      </c>
      <c r="E3" s="23" t="inlineStr">
        <is>
          <t>Jaarlijks(EUR)</t>
        </is>
      </c>
      <c r="F3" s="23" t="inlineStr">
        <is>
          <t>Opmerking</t>
        </is>
      </c>
      <c r="H3" t="inlineStr">
        <is>
          <t>Totaal/jaar:</t>
        </is>
      </c>
      <c r="I3" s="5">
        <f>SUM(tblMaandlasten[Jaarlijks(EUR)])</f>
        <v/>
      </c>
    </row>
    <row r="4">
      <c r="A4" t="inlineStr">
        <is>
          <t>Wonen</t>
        </is>
      </c>
      <c r="B4" t="inlineStr">
        <is>
          <t>Hypotheek</t>
        </is>
      </c>
      <c r="C4" s="13" t="n">
        <v>1500</v>
      </c>
      <c r="D4" t="inlineStr">
        <is>
          <t>Maandelijks</t>
        </is>
      </c>
      <c r="E4" s="13">
        <f>IF(C4="","",IF(D4="Maandelijks",C4*12,IF(D4="Kwartaal",C4*4,IF(D4="Jaarlijks",C4,C4))))</f>
        <v/>
      </c>
      <c r="F4" t="inlineStr"/>
    </row>
    <row r="5">
      <c r="A5" t="inlineStr">
        <is>
          <t>Wonen</t>
        </is>
      </c>
      <c r="B5" t="inlineStr">
        <is>
          <t>Energie (gas/elektra)</t>
        </is>
      </c>
      <c r="C5" s="13" t="n">
        <v>200</v>
      </c>
      <c r="D5" t="inlineStr">
        <is>
          <t>Maandelijks</t>
        </is>
      </c>
      <c r="E5" s="13">
        <f>IF(C5="","",IF(D5="Maandelijks",C5*12,IF(D5="Kwartaal",C5*4,IF(D5="Jaarlijks",C5,C5))))</f>
        <v/>
      </c>
      <c r="F5" t="inlineStr"/>
      <c r="H5" s="7" t="inlineStr">
        <is>
          <t>Per categorie:</t>
        </is>
      </c>
    </row>
    <row r="6">
      <c r="A6" t="inlineStr">
        <is>
          <t>Wonen</t>
        </is>
      </c>
      <c r="B6" t="inlineStr">
        <is>
          <t>Water</t>
        </is>
      </c>
      <c r="C6" s="13" t="n">
        <v>25</v>
      </c>
      <c r="D6" t="inlineStr">
        <is>
          <t>Maandelijks</t>
        </is>
      </c>
      <c r="E6" s="13">
        <f>IF(C6="","",IF(D6="Maandelijks",C6*12,IF(D6="Kwartaal",C6*4,IF(D6="Jaarlijks",C6,C6))))</f>
        <v/>
      </c>
      <c r="F6" t="inlineStr"/>
      <c r="H6" t="inlineStr">
        <is>
          <t>Wonen</t>
        </is>
      </c>
      <c r="I6" s="13">
        <f>SUMIF(tblMaandlasten[Categorie],"Wonen",tblMaandlasten[Bedrag(EUR)])</f>
        <v/>
      </c>
    </row>
    <row r="7">
      <c r="A7" t="inlineStr">
        <is>
          <t>Wonen</t>
        </is>
      </c>
      <c r="B7" t="inlineStr">
        <is>
          <t>Gemeentebelasting</t>
        </is>
      </c>
      <c r="C7" s="13" t="n">
        <v>60</v>
      </c>
      <c r="D7" t="inlineStr">
        <is>
          <t>Maandelijks</t>
        </is>
      </c>
      <c r="E7" s="13">
        <f>IF(C7="","",IF(D7="Maandelijks",C7*12,IF(D7="Kwartaal",C7*4,IF(D7="Jaarlijks",C7,C7))))</f>
        <v/>
      </c>
      <c r="F7" t="inlineStr">
        <is>
          <t>OZB + afval + riool</t>
        </is>
      </c>
      <c r="H7" t="inlineStr">
        <is>
          <t>Verzekering</t>
        </is>
      </c>
      <c r="I7" s="13">
        <f>SUMIF(tblMaandlasten[Categorie],"Verzekering",tblMaandlasten[Bedrag(EUR)])</f>
        <v/>
      </c>
    </row>
    <row r="8">
      <c r="A8" t="inlineStr">
        <is>
          <t>Verzekering</t>
        </is>
      </c>
      <c r="B8" t="inlineStr">
        <is>
          <t>Zorgverzekering</t>
        </is>
      </c>
      <c r="C8" s="13" t="n">
        <v>140</v>
      </c>
      <c r="D8" t="inlineStr">
        <is>
          <t>Maandelijks</t>
        </is>
      </c>
      <c r="E8" s="13">
        <f>IF(C8="","",IF(D8="Maandelijks",C8*12,IF(D8="Kwartaal",C8*4,IF(D8="Jaarlijks",C8,C8))))</f>
        <v/>
      </c>
      <c r="F8" t="inlineStr"/>
      <c r="H8" t="inlineStr">
        <is>
          <t>Vervoer</t>
        </is>
      </c>
      <c r="I8" s="13">
        <f>SUMIF(tblMaandlasten[Categorie],"Vervoer",tblMaandlasten[Bedrag(EUR)])</f>
        <v/>
      </c>
    </row>
    <row r="9">
      <c r="A9" t="inlineStr">
        <is>
          <t>Verzekering</t>
        </is>
      </c>
      <c r="B9" t="inlineStr">
        <is>
          <t>Inboedel + opstal</t>
        </is>
      </c>
      <c r="C9" s="13" t="n">
        <v>35</v>
      </c>
      <c r="D9" t="inlineStr">
        <is>
          <t>Maandelijks</t>
        </is>
      </c>
      <c r="E9" s="13">
        <f>IF(C9="","",IF(D9="Maandelijks",C9*12,IF(D9="Kwartaal",C9*4,IF(D9="Jaarlijks",C9,C9))))</f>
        <v/>
      </c>
      <c r="F9" t="inlineStr"/>
      <c r="H9" t="inlineStr">
        <is>
          <t>Abonnement</t>
        </is>
      </c>
      <c r="I9" s="13">
        <f>SUMIF(tblMaandlasten[Categorie],"Abonnement",tblMaandlasten[Bedrag(EUR)])</f>
        <v/>
      </c>
    </row>
    <row r="10">
      <c r="A10" t="inlineStr">
        <is>
          <t>Verzekering</t>
        </is>
      </c>
      <c r="B10" t="inlineStr">
        <is>
          <t>Auto (WA + casco)</t>
        </is>
      </c>
      <c r="C10" s="13" t="n">
        <v>80</v>
      </c>
      <c r="D10" t="inlineStr">
        <is>
          <t>Maandelijks</t>
        </is>
      </c>
      <c r="E10" s="13">
        <f>IF(C10="","",IF(D10="Maandelijks",C10*12,IF(D10="Kwartaal",C10*4,IF(D10="Jaarlijks",C10,C10))))</f>
        <v/>
      </c>
      <c r="F10" t="inlineStr"/>
      <c r="H10" t="inlineStr">
        <is>
          <t>Levensonderhoud</t>
        </is>
      </c>
      <c r="I10" s="13">
        <f>SUMIF(tblMaandlasten[Categorie],"Levensonderhoud",tblMaandlasten[Bedrag(EUR)])</f>
        <v/>
      </c>
    </row>
    <row r="11">
      <c r="A11" t="inlineStr">
        <is>
          <t>Vervoer</t>
        </is>
      </c>
      <c r="B11" t="inlineStr">
        <is>
          <t>Brandstof</t>
        </is>
      </c>
      <c r="C11" s="13" t="n">
        <v>150</v>
      </c>
      <c r="D11" t="inlineStr">
        <is>
          <t>Maandelijks</t>
        </is>
      </c>
      <c r="E11" s="13">
        <f>IF(C11="","",IF(D11="Maandelijks",C11*12,IF(D11="Kwartaal",C11*4,IF(D11="Jaarlijks",C11,C11))))</f>
        <v/>
      </c>
      <c r="F11" t="inlineStr"/>
      <c r="H11" t="inlineStr">
        <is>
          <t>Overig</t>
        </is>
      </c>
      <c r="I11" s="13">
        <f>SUMIF(tblMaandlasten[Categorie],"Overig",tblMaandlasten[Bedrag(EUR)])</f>
        <v/>
      </c>
    </row>
    <row r="12">
      <c r="A12" t="inlineStr">
        <is>
          <t>Vervoer</t>
        </is>
      </c>
      <c r="B12" t="inlineStr">
        <is>
          <t>OV abonnement</t>
        </is>
      </c>
      <c r="C12" s="13" t="n">
        <v>100</v>
      </c>
      <c r="D12" t="inlineStr">
        <is>
          <t>Maandelijks</t>
        </is>
      </c>
      <c r="E12" s="13">
        <f>IF(C12="","",IF(D12="Maandelijks",C12*12,IF(D12="Kwartaal",C12*4,IF(D12="Jaarlijks",C12,C12))))</f>
        <v/>
      </c>
      <c r="F12" t="inlineStr"/>
    </row>
    <row r="13">
      <c r="A13" t="inlineStr">
        <is>
          <t>Abonnement</t>
        </is>
      </c>
      <c r="B13" t="inlineStr">
        <is>
          <t>Internet + TV</t>
        </is>
      </c>
      <c r="C13" s="13" t="n">
        <v>60</v>
      </c>
      <c r="D13" t="inlineStr">
        <is>
          <t>Maandelijks</t>
        </is>
      </c>
      <c r="E13" s="13">
        <f>IF(C13="","",IF(D13="Maandelijks",C13*12,IF(D13="Kwartaal",C13*4,IF(D13="Jaarlijks",C13,C13))))</f>
        <v/>
      </c>
      <c r="F13" t="inlineStr"/>
    </row>
    <row r="14">
      <c r="A14" t="inlineStr">
        <is>
          <t>Abonnement</t>
        </is>
      </c>
      <c r="B14" t="inlineStr">
        <is>
          <t>Telefoon</t>
        </is>
      </c>
      <c r="C14" s="13" t="n">
        <v>30</v>
      </c>
      <c r="D14" t="inlineStr">
        <is>
          <t>Maandelijks</t>
        </is>
      </c>
      <c r="E14" s="13">
        <f>IF(C14="","",IF(D14="Maandelijks",C14*12,IF(D14="Kwartaal",C14*4,IF(D14="Jaarlijks",C14,C14))))</f>
        <v/>
      </c>
      <c r="F14" t="inlineStr"/>
    </row>
    <row r="15">
      <c r="A15" t="inlineStr">
        <is>
          <t>Abonnement</t>
        </is>
      </c>
      <c r="B15" t="inlineStr">
        <is>
          <t>Streaming (Netflix etc)</t>
        </is>
      </c>
      <c r="C15" s="13" t="n">
        <v>25</v>
      </c>
      <c r="D15" t="inlineStr">
        <is>
          <t>Maandelijks</t>
        </is>
      </c>
      <c r="E15" s="13">
        <f>IF(C15="","",IF(D15="Maandelijks",C15*12,IF(D15="Kwartaal",C15*4,IF(D15="Jaarlijks",C15,C15))))</f>
        <v/>
      </c>
      <c r="F15" t="inlineStr"/>
    </row>
    <row r="16">
      <c r="A16" t="inlineStr">
        <is>
          <t>Levensonderhoud</t>
        </is>
      </c>
      <c r="B16" t="inlineStr">
        <is>
          <t>Boodschappen</t>
        </is>
      </c>
      <c r="C16" s="13" t="n">
        <v>500</v>
      </c>
      <c r="D16" t="inlineStr">
        <is>
          <t>Maandelijks</t>
        </is>
      </c>
      <c r="E16" s="13">
        <f>IF(C16="","",IF(D16="Maandelijks",C16*12,IF(D16="Kwartaal",C16*4,IF(D16="Jaarlijks",C16,C16))))</f>
        <v/>
      </c>
      <c r="F16" t="inlineStr"/>
    </row>
    <row r="17">
      <c r="A17" t="inlineStr">
        <is>
          <t>Levensonderhoud</t>
        </is>
      </c>
      <c r="B17" t="inlineStr">
        <is>
          <t>Kleding</t>
        </is>
      </c>
      <c r="C17" s="13" t="n">
        <v>100</v>
      </c>
      <c r="D17" t="inlineStr">
        <is>
          <t>Maandelijks</t>
        </is>
      </c>
      <c r="E17" s="13">
        <f>IF(C17="","",IF(D17="Maandelijks",C17*12,IF(D17="Kwartaal",C17*4,IF(D17="Jaarlijks",C17,C17))))</f>
        <v/>
      </c>
      <c r="F17" t="inlineStr">
        <is>
          <t>Gemiddeld</t>
        </is>
      </c>
    </row>
    <row r="18">
      <c r="A18" t="inlineStr">
        <is>
          <t>Overig</t>
        </is>
      </c>
      <c r="B18" t="inlineStr">
        <is>
          <t>Reservering onvoorzien</t>
        </is>
      </c>
      <c r="C18" s="13" t="n">
        <v>200</v>
      </c>
      <c r="D18" t="inlineStr">
        <is>
          <t>Maandelijks</t>
        </is>
      </c>
      <c r="E18" s="13">
        <f>IF(C18="","",IF(D18="Maandelijks",C18*12,IF(D18="Kwartaal",C18*4,IF(D18="Jaarlijks",C18,C18))))</f>
        <v/>
      </c>
      <c r="F18" t="inlineStr"/>
    </row>
    <row r="19">
      <c r="C19" s="13" t="n"/>
      <c r="E19" s="13">
        <f>IF(C19="","",IF(D19="Maandelijks",C19*12,IF(D19="Kwartaal",C19*4,IF(D19="Jaarlijks",C19,C19))))</f>
        <v/>
      </c>
    </row>
    <row r="20">
      <c r="C20" s="13" t="n"/>
      <c r="E20" s="13">
        <f>IF(C20="","",IF(D20="Maandelijks",C20*12,IF(D20="Kwartaal",C20*4,IF(D20="Jaarlijks",C20,C20))))</f>
        <v/>
      </c>
    </row>
    <row r="21">
      <c r="C21" s="13" t="n"/>
      <c r="E21" s="13">
        <f>IF(C21="","",IF(D21="Maandelijks",C21*12,IF(D21="Kwartaal",C21*4,IF(D21="Jaarlijks",C21,C21))))</f>
        <v/>
      </c>
    </row>
    <row r="22">
      <c r="C22" s="13" t="n"/>
      <c r="E22" s="13">
        <f>IF(C22="","",IF(D22="Maandelijks",C22*12,IF(D22="Kwartaal",C22*4,IF(D22="Jaarlijks",C22,C22))))</f>
        <v/>
      </c>
    </row>
    <row r="23">
      <c r="C23" s="13" t="n"/>
      <c r="E23" s="13">
        <f>IF(C23="","",IF(D23="Maandelijks",C23*12,IF(D23="Kwartaal",C23*4,IF(D23="Jaarlijks",C23,C23))))</f>
        <v/>
      </c>
    </row>
    <row r="24">
      <c r="C24" s="13" t="n"/>
      <c r="E24" s="13">
        <f>IF(C24="","",IF(D24="Maandelijks",C24*12,IF(D24="Kwartaal",C24*4,IF(D24="Jaarlijks",C24,C24))))</f>
        <v/>
      </c>
    </row>
    <row r="25">
      <c r="C25" s="13" t="n"/>
      <c r="E25" s="13">
        <f>IF(C25="","",IF(D25="Maandelijks",C25*12,IF(D25="Kwartaal",C25*4,IF(D25="Jaarlijks",C25,C25))))</f>
        <v/>
      </c>
    </row>
    <row r="26">
      <c r="C26" s="13" t="n"/>
      <c r="E26" s="13">
        <f>IF(C26="","",IF(D26="Maandelijks",C26*12,IF(D26="Kwartaal",C26*4,IF(D26="Jaarlijks",C26,C26))))</f>
        <v/>
      </c>
    </row>
    <row r="27">
      <c r="C27" s="13" t="n"/>
      <c r="E27" s="13">
        <f>IF(C27="","",IF(D27="Maandelijks",C27*12,IF(D27="Kwartaal",C27*4,IF(D27="Jaarlijks",C27,C27))))</f>
        <v/>
      </c>
    </row>
    <row r="28">
      <c r="C28" s="13" t="n"/>
      <c r="E28" s="13">
        <f>IF(C28="","",IF(D28="Maandelijks",C28*12,IF(D28="Kwartaal",C28*4,IF(D28="Jaarlijks",C28,C28))))</f>
        <v/>
      </c>
    </row>
    <row r="29">
      <c r="C29" s="13" t="n"/>
      <c r="E29" s="13">
        <f>IF(C29="","",IF(D29="Maandelijks",C29*12,IF(D29="Kwartaal",C29*4,IF(D29="Jaarlijks",C29,C29))))</f>
        <v/>
      </c>
    </row>
    <row r="30">
      <c r="C30" s="13" t="n"/>
      <c r="E30" s="13">
        <f>IF(C30="","",IF(D30="Maandelijks",C30*12,IF(D30="Kwartaal",C30*4,IF(D30="Jaarlijks",C30,C30))))</f>
        <v/>
      </c>
    </row>
    <row r="31">
      <c r="C31" s="13" t="n"/>
      <c r="E31" s="13">
        <f>IF(C31="","",IF(D31="Maandelijks",C31*12,IF(D31="Kwartaal",C31*4,IF(D31="Jaarlijks",C31,C31))))</f>
        <v/>
      </c>
    </row>
    <row r="32">
      <c r="C32" s="13" t="n"/>
      <c r="E32" s="13">
        <f>IF(C32="","",IF(D32="Maandelijks",C32*12,IF(D32="Kwartaal",C32*4,IF(D32="Jaarlijks",C32,C32))))</f>
        <v/>
      </c>
    </row>
    <row r="33">
      <c r="C33" s="13" t="n"/>
      <c r="E33" s="13">
        <f>IF(C33="","",IF(D33="Maandelijks",C33*12,IF(D33="Kwartaal",C33*4,IF(D33="Jaarlijks",C33,C33))))</f>
        <v/>
      </c>
    </row>
    <row r="34">
      <c r="C34" s="13" t="n"/>
      <c r="E34" s="13">
        <f>IF(C34="","",IF(D34="Maandelijks",C34*12,IF(D34="Kwartaal",C34*4,IF(D34="Jaarlijks",C34,C34))))</f>
        <v/>
      </c>
    </row>
    <row r="35">
      <c r="C35" s="13" t="n"/>
      <c r="E35" s="13">
        <f>IF(C35="","",IF(D35="Maandelijks",C35*12,IF(D35="Kwartaal",C35*4,IF(D35="Jaarlijks",C35,C35))))</f>
        <v/>
      </c>
    </row>
    <row r="36">
      <c r="C36" s="13" t="n"/>
      <c r="E36" s="13">
        <f>IF(C36="","",IF(D36="Maandelijks",C36*12,IF(D36="Kwartaal",C36*4,IF(D36="Jaarlijks",C36,C36))))</f>
        <v/>
      </c>
    </row>
    <row r="37">
      <c r="C37" s="13" t="n"/>
      <c r="E37" s="13">
        <f>IF(C37="","",IF(D37="Maandelijks",C37*12,IF(D37="Kwartaal",C37*4,IF(D37="Jaarlijks",C37,C37))))</f>
        <v/>
      </c>
    </row>
    <row r="38">
      <c r="C38" s="13" t="n"/>
      <c r="E38" s="13">
        <f>IF(C38="","",IF(D38="Maandelijks",C38*12,IF(D38="Kwartaal",C38*4,IF(D38="Jaarlijks",C38,C38))))</f>
        <v/>
      </c>
    </row>
    <row r="39">
      <c r="C39" s="13" t="n"/>
      <c r="E39" s="13">
        <f>IF(C39="","",IF(D39="Maandelijks",C39*12,IF(D39="Kwartaal",C39*4,IF(D39="Jaarlijks",C39,C39))))</f>
        <v/>
      </c>
    </row>
    <row r="40">
      <c r="C40" s="13" t="n"/>
      <c r="E40" s="13">
        <f>IF(C40="","",IF(D40="Maandelijks",C40*12,IF(D40="Kwartaal",C40*4,IF(D40="Jaarlijks",C40,C40))))</f>
        <v/>
      </c>
    </row>
    <row r="41">
      <c r="C41" s="13" t="n"/>
      <c r="E41" s="13">
        <f>IF(C41="","",IF(D41="Maandelijks",C41*12,IF(D41="Kwartaal",C41*4,IF(D41="Jaarlijks",C41,C41))))</f>
        <v/>
      </c>
    </row>
    <row r="42">
      <c r="C42" s="13" t="n"/>
      <c r="E42" s="13">
        <f>IF(C42="","",IF(D42="Maandelijks",C42*12,IF(D42="Kwartaal",C42*4,IF(D42="Jaarlijks",C42,C42))))</f>
        <v/>
      </c>
    </row>
    <row r="43">
      <c r="C43" s="13" t="n"/>
      <c r="E43" s="13">
        <f>IF(C43="","",IF(D43="Maandelijks",C43*12,IF(D43="Kwartaal",C43*4,IF(D43="Jaarlijks",C43,C43))))</f>
        <v/>
      </c>
    </row>
    <row r="44">
      <c r="C44" s="13" t="n"/>
      <c r="E44" s="13">
        <f>IF(C44="","",IF(D44="Maandelijks",C44*12,IF(D44="Kwartaal",C44*4,IF(D44="Jaarlijks",C44,C44))))</f>
        <v/>
      </c>
    </row>
    <row r="45">
      <c r="C45" s="13" t="n"/>
      <c r="E45" s="13">
        <f>IF(C45="","",IF(D45="Maandelijks",C45*12,IF(D45="Kwartaal",C45*4,IF(D45="Jaarlijks",C45,C45))))</f>
        <v/>
      </c>
    </row>
    <row r="46">
      <c r="C46" s="13" t="n"/>
      <c r="E46" s="13">
        <f>IF(C46="","",IF(D46="Maandelijks",C46*12,IF(D46="Kwartaal",C46*4,IF(D46="Jaarlijks",C46,C46))))</f>
        <v/>
      </c>
    </row>
    <row r="47">
      <c r="C47" s="13" t="n"/>
      <c r="E47" s="13">
        <f>IF(C47="","",IF(D47="Maandelijks",C47*12,IF(D47="Kwartaal",C47*4,IF(D47="Jaarlijks",C47,C47))))</f>
        <v/>
      </c>
    </row>
    <row r="48">
      <c r="C48" s="13" t="n"/>
      <c r="E48" s="13">
        <f>IF(C48="","",IF(D48="Maandelijks",C48*12,IF(D48="Kwartaal",C48*4,IF(D48="Jaarlijks",C48,C48))))</f>
        <v/>
      </c>
    </row>
    <row r="49">
      <c r="C49" s="13" t="n"/>
      <c r="E49" s="13">
        <f>IF(C49="","",IF(D49="Maandelijks",C49*12,IF(D49="Kwartaal",C49*4,IF(D49="Jaarlijks",C49,C49))))</f>
        <v/>
      </c>
    </row>
  </sheetData>
  <dataValidations count="2">
    <dataValidation sqref="A4:A50" showDropDown="0" showInputMessage="0" showErrorMessage="1" allowBlank="1" errorTitle="Ongeldige invoer" error="Kies een waarde uit de lijst: Wonen, Verzekering, Vervoer, Abonnement, Levensonderhoud, Belasting, Overig" type="list">
      <formula1>"Wonen,Verzekering,Vervoer,Abonnement,Levensonderhoud,Belasting,Overig"</formula1>
    </dataValidation>
    <dataValidation sqref="D4:D50" showDropDown="0" showInputMessage="0" showErrorMessage="1" allowBlank="1" errorTitle="Ongeldige invoer" error="Kies een waarde uit de lijst: Maandelijks, Kwartaal, Jaarlijks, Eenmalig" type="list">
      <formula1>"Maandelijks,Kwartaal,Jaarlijks,Eenmalig"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8" customWidth="1" min="4" max="4"/>
    <col width="40" customWidth="1" min="5" max="5"/>
  </cols>
  <sheetData>
    <row r="1">
      <c r="A1" s="22" t="inlineStr">
        <is>
          <t>Belastingen - Box 3 Vermogensbelasting (NL)</t>
        </is>
      </c>
    </row>
    <row r="2">
      <c r="A2" s="26" t="inlineStr">
        <is>
          <t>Peildatum: 1 januari | Tarieven 2025 | Heffingsvrij vermogen: €57.684 p.p.</t>
        </is>
      </c>
    </row>
    <row r="4">
      <c r="A4" s="23" t="inlineStr">
        <is>
          <t>Vermogenstype</t>
        </is>
      </c>
      <c r="B4" s="23" t="inlineStr">
        <is>
          <t>Waarde 1 jan</t>
        </is>
      </c>
      <c r="C4" s="23" t="inlineStr">
        <is>
          <t>Forfaitair %</t>
        </is>
      </c>
      <c r="D4" s="23" t="inlineStr">
        <is>
          <t>Fictief rendement</t>
        </is>
      </c>
      <c r="E4" s="23" t="inlineStr">
        <is>
          <t>Opmerking</t>
        </is>
      </c>
    </row>
    <row r="5">
      <c r="A5" t="inlineStr">
        <is>
          <t>Spaargeld</t>
        </is>
      </c>
      <c r="B5" s="5">
        <f>SUM(tblCash[Bedrag(EUR)])</f>
        <v/>
      </c>
      <c r="C5" s="16" t="n">
        <v>0.0092</v>
      </c>
      <c r="D5" s="5">
        <f>B5*C5</f>
        <v/>
      </c>
      <c r="E5" t="inlineStr">
        <is>
          <t>spaar</t>
        </is>
      </c>
    </row>
    <row r="6">
      <c r="A6" t="inlineStr">
        <is>
          <t>Beleggingen (excl. crypto)</t>
        </is>
      </c>
      <c r="B6" s="5">
        <f>SUMIF(tblCash[Type],"Belegging",tblCash[Bedrag(EUR)])</f>
        <v/>
      </c>
      <c r="C6" s="16" t="n">
        <v>0.0617</v>
      </c>
      <c r="D6" s="5">
        <f>B6*C6</f>
        <v/>
      </c>
      <c r="E6" t="inlineStr">
        <is>
          <t>beleg</t>
        </is>
      </c>
    </row>
    <row r="7">
      <c r="A7" t="inlineStr">
        <is>
          <t>Crypto (BTC + DOGE)</t>
        </is>
      </c>
      <c r="B7" s="5">
        <f>SUM(tblBTC[BTC Aantal])*XLOOKUP("BTC",tblKoersen[Symbol],tblKoersen[EUR prijs],0)+SUM(tblDOGE[DOGE Aantal])*XLOOKUP("DOGE",tblKoersen[Symbol],tblKoersen[EUR prijs],0)</f>
        <v/>
      </c>
      <c r="C7" s="16" t="n">
        <v>0.0617</v>
      </c>
      <c r="D7" s="5">
        <f>B7*C7</f>
        <v/>
      </c>
      <c r="E7" t="inlineStr">
        <is>
          <t>beleg</t>
        </is>
      </c>
    </row>
    <row r="8">
      <c r="A8" t="inlineStr">
        <is>
          <t>Vastgoed (WOZ-waarde)</t>
        </is>
      </c>
      <c r="B8" s="5">
        <f>SUM(tblVastgoed[Waarde(EUR)])</f>
        <v/>
      </c>
      <c r="C8" s="16" t="n">
        <v>0.0617</v>
      </c>
      <c r="D8" s="5">
        <f>B8*C8</f>
        <v/>
      </c>
      <c r="E8" t="inlineStr">
        <is>
          <t>Let op: eigen woning in Box 1</t>
        </is>
      </c>
    </row>
    <row r="9">
      <c r="A9" t="inlineStr">
        <is>
          <t>Schulden (aftrekbaar)</t>
        </is>
      </c>
      <c r="B9" s="5">
        <f>-SUM(tblLeningen[Openstaand(EUR)])-SUM(tblVastgoed[Hypotheek(EUR)])-SUM(tblVastgoed[Overige Leningen(EUR)])</f>
        <v/>
      </c>
      <c r="C9" s="16" t="n">
        <v>0.0257</v>
      </c>
      <c r="D9" s="5">
        <f>B9*C9</f>
        <v/>
      </c>
      <c r="E9" t="inlineStr">
        <is>
          <t>Drempel €3.700</t>
        </is>
      </c>
    </row>
    <row r="11">
      <c r="A11" s="7" t="inlineStr">
        <is>
          <t>TOTAAL VERMOGEN</t>
        </is>
      </c>
      <c r="B11" s="21">
        <f>SUM(B5:B9)</f>
        <v/>
      </c>
    </row>
    <row r="12">
      <c r="A12" t="inlineStr">
        <is>
          <t>Heffingsvrij vermogen</t>
        </is>
      </c>
      <c r="B12" s="5" t="n">
        <v>57684</v>
      </c>
      <c r="E12" t="inlineStr">
        <is>
          <t>Per persoon, fiscale partners: x2</t>
        </is>
      </c>
    </row>
    <row r="13">
      <c r="A13" s="7" t="inlineStr">
        <is>
          <t>Belastbaar vermogen</t>
        </is>
      </c>
      <c r="B13" s="21">
        <f>MAX(0,B11-B12)</f>
        <v/>
      </c>
    </row>
    <row r="15">
      <c r="A15" t="inlineStr">
        <is>
          <t>Totaal fictief rendement</t>
        </is>
      </c>
      <c r="D15" s="21">
        <f>SUM(D5:D9)</f>
        <v/>
      </c>
    </row>
    <row r="17">
      <c r="A17" s="3" t="inlineStr">
        <is>
          <t>BOX 3 BELASTING</t>
        </is>
      </c>
    </row>
    <row r="18">
      <c r="A18" t="inlineStr">
        <is>
          <t>Fictief rendement</t>
        </is>
      </c>
      <c r="B18" s="5">
        <f>D14</f>
        <v/>
      </c>
    </row>
    <row r="19">
      <c r="A19" t="inlineStr">
        <is>
          <t>Belastingtarief</t>
        </is>
      </c>
      <c r="B19" s="11" t="n">
        <v>0.36</v>
      </c>
    </row>
    <row r="20">
      <c r="A20" s="38" t="inlineStr">
        <is>
          <t>TE BETALEN BOX 3</t>
        </is>
      </c>
      <c r="B20" s="39">
        <f>B18*B19</f>
        <v/>
      </c>
      <c r="C20" s="40" t="n"/>
      <c r="D20" s="40" t="n"/>
    </row>
    <row r="23">
      <c r="A23" s="7" t="inlineStr">
        <is>
          <t>LET OP:</t>
        </is>
      </c>
    </row>
    <row r="24">
      <c r="A24" s="26" t="inlineStr">
        <is>
          <t>• Dit is een INDICATIEVE berekening, geen belastingadvies</t>
        </is>
      </c>
    </row>
    <row r="25">
      <c r="A25" s="26" t="inlineStr">
        <is>
          <t>• Eigen woning valt normaal in Box 1, niet Box 3</t>
        </is>
      </c>
    </row>
    <row r="26">
      <c r="A26" s="26" t="inlineStr">
        <is>
          <t>• Schulden hebben een drempel van €3.700 (2025)</t>
        </is>
      </c>
    </row>
    <row r="27">
      <c r="A27" s="26" t="inlineStr">
        <is>
          <t>• Fiscale partners kunnen heffingsvrij vermogen optellen (€115.368)</t>
        </is>
      </c>
    </row>
    <row r="28">
      <c r="A28" s="26" t="inlineStr">
        <is>
          <t>• Crypto wordt door de Belastingdienst als 'overige bezitting' gezien</t>
        </is>
      </c>
    </row>
    <row r="29">
      <c r="A29" s="26" t="inlineStr">
        <is>
          <t>• Peildatum is altijd 1 januari van het belastingjaar</t>
        </is>
      </c>
    </row>
  </sheetData>
  <mergeCells count="1">
    <mergeCell ref="A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2026-02-06T05:38:39Z</dcterms:created>
  <dcterms:modified xsi:type="dcterms:W3CDTF">2026-02-06T05:38:39Z</dcterms:modified>
</cp:coreProperties>
</file>